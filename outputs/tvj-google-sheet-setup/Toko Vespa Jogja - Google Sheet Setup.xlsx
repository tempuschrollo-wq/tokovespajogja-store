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147941fb5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PRODUCTS" sheetId="1" r:id="R3bd14d93811c4927"/>
    <x:sheet xmlns:r="http://schemas.openxmlformats.org/officeDocument/2006/relationships" name="STOCK_IN" sheetId="2" r:id="Rbcfed48c7f8e4a43"/>
    <x:sheet xmlns:r="http://schemas.openxmlformats.org/officeDocument/2006/relationships" name="STOCK_OUT" sheetId="3" r:id="R7fac5ae3de6347f7"/>
    <x:sheet xmlns:r="http://schemas.openxmlformats.org/officeDocument/2006/relationships" name="ORDERS_WEBSITE" sheetId="4" r:id="Rbe40f80fa0a14026"/>
    <x:sheet xmlns:r="http://schemas.openxmlformats.org/officeDocument/2006/relationships" name="INVENTORY_LOG" sheetId="5" r:id="R136ee7622c5745b5"/>
    <x:sheet xmlns:r="http://schemas.openxmlformats.org/officeDocument/2006/relationships" name="SETTINGS" sheetId="6" r:id="R1e0dea188785495a"/>
    <x:sheet xmlns:r="http://schemas.openxmlformats.org/officeDocument/2006/relationships" name="DASHBOARD" sheetId="7" r:id="R614b3ebc75104827"/>
    <x:sheet xmlns:r="http://schemas.openxmlformats.org/officeDocument/2006/relationships" name="WEEKLY_REPORT" sheetId="8" r:id="R3d8be931fb814a57"/>
    <x:sheet xmlns:r="http://schemas.openxmlformats.org/officeDocument/2006/relationships" name="MONTHLY_REPORT" sheetId="9" r:id="R1b6acf34211c49ff"/>
    <x:sheet xmlns:r="http://schemas.openxmlformats.org/officeDocument/2006/relationships" name="API_LOG" sheetId="10" r:id="R6a876d350992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Rp&quot; #,##0"/>
    <x:numFmt numFmtId="201" formatCode="#,##0"/>
    <x:numFmt numFmtId="202" formatCode="0.00%"/>
    <x:numFmt numFmtId="203" formatCode="yyyy-mm-dd hh:mm"/>
    <x:numFmt numFmtId="204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633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D3A"/>
      </x:patternFill>
    </x:fill>
    <x:fill>
      <x:patternFill patternType="solid">
        <x:fgColor rgb="DCE8E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1" fillId="2" borderId="0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1549dd4d546ec" /><Relationship Type="http://schemas.openxmlformats.org/officeDocument/2006/relationships/theme" Target="/xl/theme/theme1.xml" Id="Rc522dbabd35c47c4" /><Relationship Type="http://schemas.openxmlformats.org/officeDocument/2006/relationships/sharedStrings" Target="/xl/sharedStrings.xml" Id="Re76e1b82ac564f1f" /><Relationship Type="http://schemas.openxmlformats.org/officeDocument/2006/relationships/worksheet" Target="/xl/worksheets/sheet1.xml" Id="R3bd14d93811c4927" /><Relationship Type="http://schemas.openxmlformats.org/officeDocument/2006/relationships/worksheet" Target="/xl/worksheets/sheet2.xml" Id="Rbcfed48c7f8e4a43" /><Relationship Type="http://schemas.openxmlformats.org/officeDocument/2006/relationships/worksheet" Target="/xl/worksheets/sheet3.xml" Id="R7fac5ae3de6347f7" /><Relationship Type="http://schemas.openxmlformats.org/officeDocument/2006/relationships/worksheet" Target="/xl/worksheets/sheet4.xml" Id="Rbe40f80fa0a14026" /><Relationship Type="http://schemas.openxmlformats.org/officeDocument/2006/relationships/worksheet" Target="/xl/worksheets/sheet5.xml" Id="R136ee7622c5745b5" /><Relationship Type="http://schemas.openxmlformats.org/officeDocument/2006/relationships/worksheet" Target="/xl/worksheets/sheet6.xml" Id="R1e0dea188785495a" /><Relationship Type="http://schemas.openxmlformats.org/officeDocument/2006/relationships/worksheet" Target="/xl/worksheets/sheet7.xml" Id="R614b3ebc75104827" /><Relationship Type="http://schemas.openxmlformats.org/officeDocument/2006/relationships/worksheet" Target="/xl/worksheets/sheet8.xml" Id="R3d8be931fb814a57" /><Relationship Type="http://schemas.openxmlformats.org/officeDocument/2006/relationships/worksheet" Target="/xl/worksheets/sheet9.xml" Id="R1b6acf34211c49ff" /><Relationship Type="http://schemas.openxmlformats.org/officeDocument/2006/relationships/worksheet" Target="/xl/worksheets/sheet10.xml" Id="R6a876d3509924f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70bc59b6794a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Stock Status Snapshot</a:t>
            </a:r>
          </a:p>
        </c:rich>
      </c:tx>
      <c:overlay val="0"/>
    </c:title>
    <c:autoTitleDeleted val="0"/>
    <c:view3D/>
    <c:plotArea>
      <c:layout/>
      <c:doughnutChart>
        <c:ser>
          <c:idx val="0"/>
          <c:order val="0"/>
          <c:tx>
            <c:v>Series 1</c:v>
          </c:tx>
          <c:cat>
            <c:strRef>
              <c:f>'DASHBOARD'!$H$8:$H$10</c:f>
              <c:strCache>
                <c:ptCount val="0"/>
              </c:strCache>
            </c:strRef>
          </c:cat>
          <c:val>
            <c:numRef>
              <c:f>'DASHBOARD'!$I$8:$I$10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0bc59b6794a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2432e98bebd435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.860000610351562" hidden="0" customWidth="1"/>
    <x:col min="2" max="2" width="15" hidden="0" customWidth="1"/>
    <x:col min="3" max="3" width="50.709999084472656" hidden="0" customWidth="1"/>
    <x:col min="4" max="4" width="15" hidden="0" customWidth="1"/>
    <x:col min="5" max="5" width="23.56999969482422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2.859999656677246" hidden="0" customWidth="1"/>
    <x:col min="12" max="12" width="12.859999656677246" hidden="0" customWidth="1"/>
    <x:col min="13" max="13" width="12.859999656677246" hidden="0" customWidth="1"/>
    <x:col min="14" max="14" width="12.859999656677246" hidden="0" customWidth="1"/>
    <x:col min="15" max="15" width="19.290000915527344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>
      <x:c r="A1" s="10" t="str">
        <x:v>Product_ID</x:v>
      </x:c>
      <x:c r="B1" s="10" t="str">
        <x:v>SKU</x:v>
      </x:c>
      <x:c r="C1" s="10" t="str">
        <x:v>Nama_Produk</x:v>
      </x:c>
      <x:c r="D1" s="10" t="str">
        <x:v>Kategori</x:v>
      </x:c>
      <x:c r="E1" s="10" t="str">
        <x:v>Model_Vespa</x:v>
      </x:c>
      <x:c r="F1" s="10" t="str">
        <x:v>Deskripsi_Singkat</x:v>
      </x:c>
      <x:c r="G1" s="10" t="str">
        <x:v>Harga_Modal</x:v>
      </x:c>
      <x:c r="H1" s="10" t="str">
        <x:v>Harga_Jual</x:v>
      </x:c>
      <x:c r="I1" s="10" t="str">
        <x:v>Margin_Rp</x:v>
      </x:c>
      <x:c r="J1" s="10" t="str">
        <x:v>Margin_Persen</x:v>
      </x:c>
      <x:c r="K1" s="10" t="str">
        <x:v>Stok_Aktif</x:v>
      </x:c>
      <x:c r="L1" s="10" t="str">
        <x:v>Minimum_Stok</x:v>
      </x:c>
      <x:c r="M1" s="10" t="str">
        <x:v>Status_Stok</x:v>
      </x:c>
      <x:c r="N1" s="10" t="str">
        <x:v>Status_Produk</x:v>
      </x:c>
      <x:c r="O1" s="10" t="str">
        <x:v>Image_URL</x:v>
      </x:c>
      <x:c r="P1" s="10" t="str">
        <x:v>Berat</x:v>
      </x:c>
      <x:c r="Q1" s="10" t="str">
        <x:v>Lokasi_Rak</x:v>
      </x:c>
      <x:c r="R1" s="10" t="str">
        <x:v>Marketplace_SKU_Shopee</x:v>
      </x:c>
      <x:c r="S1" s="10" t="str">
        <x:v>Marketplace_SKU_Tokopedia</x:v>
      </x:c>
      <x:c r="T1" s="10" t="str">
        <x:v>Marketplace_SKU_TikTok</x:v>
      </x:c>
      <x:c r="U1" s="10" t="str">
        <x:v>Last_Updated</x:v>
      </x:c>
      <x:c r="V1" s="10" t="str">
        <x:v>Updated_By</x:v>
      </x:c>
    </x:row>
    <x:row r="2">
      <x:c r="A2" t="str">
        <x:v>PRD-JVS-0001</x:v>
      </x:c>
      <x:c r="B2" t="str">
        <x:v>JVS-0001</x:v>
      </x:c>
      <x:c r="C2" t="str">
        <x:v>Aki Accu Vespa Excel GS 12N10-3B 10 Ampere</x:v>
      </x:c>
      <x:c r="D2" t="str">
        <x:v>Aksesoris</x:v>
      </x:c>
      <x:c r="E2" t="str">
        <x:v>EXCEL</x:v>
      </x:c>
      <x:c r="F2" t="str"/>
      <x:c r="G2" s="12" t="n">
        <x:v>250</x:v>
      </x:c>
      <x:c r="H2" s="12" t="n">
        <x:v>250</x:v>
      </x:c>
      <x:c r="I2" s="12" t="n">
        <x:v>0</x:v>
      </x:c>
      <x:c r="J2" s="16" t="n">
        <x:v>0</x:v>
      </x:c>
      <x:c r="K2" s="14" t="n">
        <x:v>1</x:v>
      </x:c>
      <x:c r="L2" s="14" t="n">
        <x:v>1</x:v>
      </x:c>
      <x:c r="M2" t="str">
        <x:v>LOW</x:v>
      </x:c>
      <x:c r="N2" t="str">
        <x:v>AKTIF</x:v>
      </x:c>
      <x:c r="O2" t="str"/>
      <x:c r="P2" t="str"/>
      <x:c r="Q2" t="str"/>
      <x:c r="R2" t="str"/>
      <x:c r="S2" t="str"/>
      <x:c r="T2" t="str"/>
      <x:c r="U2" s="18" t="n">
        <x:v>46134.041666666664</x:v>
      </x:c>
      <x:c r="V2" t="str">
        <x:v>INITIAL_IMPORT</x:v>
      </x:c>
    </x:row>
    <x:row r="3">
      <x:c r="A3" t="str">
        <x:v>PRD-JVS-0002</x:v>
      </x:c>
      <x:c r="B3" t="str">
        <x:v>JVS-0002</x:v>
      </x:c>
      <x:c r="C3" t="str">
        <x:v>Aki Accu Vespa Excel GS 12N5-3B 5 Ampere</x:v>
      </x:c>
      <x:c r="D3" t="str">
        <x:v>Aksesoris</x:v>
      </x:c>
      <x:c r="E3" t="str">
        <x:v>EXCEL</x:v>
      </x:c>
      <x:c r="F3" t="str"/>
      <x:c r="G3" s="12" t="n">
        <x:v>150</x:v>
      </x:c>
      <x:c r="H3" s="12" t="n">
        <x:v>150</x:v>
      </x:c>
      <x:c r="I3" s="12" t="n">
        <x:v>0</x:v>
      </x:c>
      <x:c r="J3" s="16" t="n">
        <x:v>0</x:v>
      </x:c>
      <x:c r="K3" s="14" t="n">
        <x:v>1</x:v>
      </x:c>
      <x:c r="L3" s="14" t="n">
        <x:v>1</x:v>
      </x:c>
      <x:c r="M3" t="str">
        <x:v>LOW</x:v>
      </x:c>
      <x:c r="N3" t="str">
        <x:v>AKTIF</x:v>
      </x:c>
      <x:c r="O3" t="str"/>
      <x:c r="P3" t="str"/>
      <x:c r="Q3" t="str"/>
      <x:c r="R3" t="str"/>
      <x:c r="S3" t="str"/>
      <x:c r="T3" t="str"/>
      <x:c r="U3" s="18" t="n">
        <x:v>46134.041666666664</x:v>
      </x:c>
      <x:c r="V3" t="str">
        <x:v>INITIAL_IMPORT</x:v>
      </x:c>
    </x:row>
    <x:row r="4">
      <x:c r="A4" t="str">
        <x:v>PRD-JVS-0003</x:v>
      </x:c>
      <x:c r="B4" t="str">
        <x:v>JVS-0003</x:v>
      </x:c>
      <x:c r="C4" t="str">
        <x:v>Anting Jepitan Kawat Pedal Rem Belakang Bagian Pedal Depan Vespa Super Sprint VBB Bajaj</x:v>
      </x:c>
      <x:c r="D4" t="str">
        <x:v>Kaki-Kaki</x:v>
      </x:c>
      <x:c r="E4" t="str">
        <x:v>SUPER, SPRINT, VBB, BAJAJ</x:v>
      </x:c>
      <x:c r="F4" t="str"/>
      <x:c r="G4" s="12" t="n">
        <x:v>15</x:v>
      </x:c>
      <x:c r="H4" s="12" t="n">
        <x:v>15</x:v>
      </x:c>
      <x:c r="I4" s="12" t="n">
        <x:v>0</x:v>
      </x:c>
      <x:c r="J4" s="16" t="n">
        <x:v>0</x:v>
      </x:c>
      <x:c r="K4" s="14" t="n">
        <x:v>3</x:v>
      </x:c>
      <x:c r="L4" s="14" t="n">
        <x:v>1</x:v>
      </x:c>
      <x:c r="M4" t="str">
        <x:v>READY</x:v>
      </x:c>
      <x:c r="N4" t="str">
        <x:v>AKTIF</x:v>
      </x:c>
      <x:c r="O4" t="str"/>
      <x:c r="P4" t="str"/>
      <x:c r="Q4" t="str"/>
      <x:c r="R4" t="str"/>
      <x:c r="S4" t="str"/>
      <x:c r="T4" t="str"/>
      <x:c r="U4" s="18" t="n">
        <x:v>46134.041666666664</x:v>
      </x:c>
      <x:c r="V4" t="str">
        <x:v>INITIAL_IMPORT</x:v>
      </x:c>
    </x:row>
    <x:row r="5">
      <x:c r="A5" t="str">
        <x:v>PRD-JVS-0004</x:v>
      </x:c>
      <x:c r="B5" t="str">
        <x:v>JVS-0004</x:v>
      </x:c>
      <x:c r="C5" t="str">
        <x:v>Anting Klem Jepit Kawat Rem Belakang Vespa</x:v>
      </x:c>
      <x:c r="D5" t="str">
        <x:v>Kaki-Kaki</x:v>
      </x:c>
      <x:c r="E5" t="str"/>
      <x:c r="F5" t="str"/>
      <x:c r="G5" s="12" t="n">
        <x:v>12</x:v>
      </x:c>
      <x:c r="H5" s="12" t="n">
        <x:v>12</x:v>
      </x:c>
      <x:c r="I5" s="12" t="n">
        <x:v>0</x:v>
      </x:c>
      <x:c r="J5" s="16" t="n">
        <x:v>0</x:v>
      </x:c>
      <x:c r="K5" s="14" t="n">
        <x:v>5</x:v>
      </x:c>
      <x:c r="L5" s="14" t="n">
        <x:v>1</x:v>
      </x:c>
      <x:c r="M5" t="str">
        <x:v>READY</x:v>
      </x:c>
      <x:c r="N5" t="str">
        <x:v>AKTIF</x:v>
      </x:c>
      <x:c r="O5" t="str"/>
      <x:c r="P5" t="str"/>
      <x:c r="Q5" t="str"/>
      <x:c r="R5" t="str"/>
      <x:c r="S5" t="str"/>
      <x:c r="T5" t="str"/>
      <x:c r="U5" s="18" t="n">
        <x:v>46134.041666666664</x:v>
      </x:c>
      <x:c r="V5" t="str">
        <x:v>INITIAL_IMPORT</x:v>
      </x:c>
    </x:row>
    <x:row r="6">
      <x:c r="A6" t="str">
        <x:v>PRD-JVS-0005</x:v>
      </x:c>
      <x:c r="B6" t="str">
        <x:v>JVS-0005</x:v>
      </x:c>
      <x:c r="C6" t="str">
        <x:v>Anting Klem Jepit Kawat Rem Depan Vespa</x:v>
      </x:c>
      <x:c r="D6" t="str">
        <x:v>Kaki-Kaki</x:v>
      </x:c>
      <x:c r="E6" t="str"/>
      <x:c r="F6" t="str"/>
      <x:c r="G6" s="12" t="n">
        <x:v>12</x:v>
      </x:c>
      <x:c r="H6" s="12" t="n">
        <x:v>12</x:v>
      </x:c>
      <x:c r="I6" s="12" t="n">
        <x:v>0</x:v>
      </x:c>
      <x:c r="J6" s="16" t="n">
        <x:v>0</x:v>
      </x:c>
      <x:c r="K6" s="14" t="n">
        <x:v>4</x:v>
      </x:c>
      <x:c r="L6" s="14" t="n">
        <x:v>1</x:v>
      </x:c>
      <x:c r="M6" t="str">
        <x:v>READY</x:v>
      </x:c>
      <x:c r="N6" t="str">
        <x:v>AKTIF</x:v>
      </x:c>
      <x:c r="O6" t="str"/>
      <x:c r="P6" t="str"/>
      <x:c r="Q6" t="str"/>
      <x:c r="R6" t="str"/>
      <x:c r="S6" t="str"/>
      <x:c r="T6" t="str"/>
      <x:c r="U6" s="18" t="n">
        <x:v>46134.041666666664</x:v>
      </x:c>
      <x:c r="V6" t="str">
        <x:v>INITIAL_IMPORT</x:v>
      </x:c>
    </x:row>
    <x:row r="7">
      <x:c r="A7" t="str">
        <x:v>PRD-JVS-0006</x:v>
      </x:c>
      <x:c r="B7" t="str">
        <x:v>JVS-0006</x:v>
      </x:c>
      <x:c r="C7" t="str">
        <x:v>As Ayun Kingpen Vespa 90cc Import</x:v>
      </x:c>
      <x:c r="D7" t="str">
        <x:v>Kaki-Kaki</x:v>
      </x:c>
      <x:c r="E7" t="str"/>
      <x:c r="F7" t="str"/>
      <x:c r="G7" s="12" t="str"/>
      <x:c r="H7" s="12" t="str"/>
      <x:c r="I7" s="12" t="str"/>
      <x:c r="J7" s="16" t="str"/>
      <x:c r="K7" s="14" t="n">
        <x:v>1</x:v>
      </x:c>
      <x:c r="L7" s="14" t="n">
        <x:v>1</x:v>
      </x:c>
      <x:c r="M7" t="str">
        <x:v>LOW</x:v>
      </x:c>
      <x:c r="N7" t="str">
        <x:v>AKTIF</x:v>
      </x:c>
      <x:c r="O7" t="str"/>
      <x:c r="P7" t="str"/>
      <x:c r="Q7" t="str"/>
      <x:c r="R7" t="str"/>
      <x:c r="S7" t="str"/>
      <x:c r="T7" t="str"/>
      <x:c r="U7" s="18" t="n">
        <x:v>46134.041666666664</x:v>
      </x:c>
      <x:c r="V7" t="str">
        <x:v>INITIAL_IMPORT</x:v>
      </x:c>
    </x:row>
    <x:row r="8">
      <x:c r="A8" t="str">
        <x:v>PRD-JVS-0007</x:v>
      </x:c>
      <x:c r="B8" t="str">
        <x:v>JVS-0007</x:v>
      </x:c>
      <x:c r="C8" t="str">
        <x:v>As Ayun Kingpen Vespa Excel, Exclusive Merk Danmotor</x:v>
      </x:c>
      <x:c r="D8" t="str">
        <x:v>Kaki-Kaki</x:v>
      </x:c>
      <x:c r="E8" t="str">
        <x:v>EXCEL, EXCLUSIVE</x:v>
      </x:c>
      <x:c r="F8" t="str"/>
      <x:c r="G8" s="12" t="n">
        <x:v>95</x:v>
      </x:c>
      <x:c r="H8" s="12" t="n">
        <x:v>95</x:v>
      </x:c>
      <x:c r="I8" s="12" t="n">
        <x:v>0</x:v>
      </x:c>
      <x:c r="J8" s="16" t="n">
        <x:v>0</x:v>
      </x:c>
      <x:c r="K8" s="14" t="n">
        <x:v>1</x:v>
      </x:c>
      <x:c r="L8" s="14" t="n">
        <x:v>1</x:v>
      </x:c>
      <x:c r="M8" t="str">
        <x:v>LOW</x:v>
      </x:c>
      <x:c r="N8" t="str">
        <x:v>AKTIF</x:v>
      </x:c>
      <x:c r="O8" t="str"/>
      <x:c r="P8" t="str"/>
      <x:c r="Q8" t="str"/>
      <x:c r="R8" t="str"/>
      <x:c r="S8" t="str"/>
      <x:c r="T8" t="str"/>
      <x:c r="U8" s="18" t="n">
        <x:v>46134.041666666664</x:v>
      </x:c>
      <x:c r="V8" t="str">
        <x:v>INITIAL_IMPORT</x:v>
      </x:c>
    </x:row>
    <x:row r="9">
      <x:c r="A9" t="str">
        <x:v>PRD-JVS-0008</x:v>
      </x:c>
      <x:c r="B9" t="str">
        <x:v>JVS-0008</x:v>
      </x:c>
      <x:c r="C9" t="str">
        <x:v>As Ayun Kingpen Vespa Excel, Exclusive Merk Vesgio / Vivo</x:v>
      </x:c>
      <x:c r="D9" t="str">
        <x:v>Kaki-Kaki</x:v>
      </x:c>
      <x:c r="E9" t="str">
        <x:v>EXCEL, EXCLUSIVE</x:v>
      </x:c>
      <x:c r="F9" t="str"/>
      <x:c r="G9" s="12" t="n">
        <x:v>50</x:v>
      </x:c>
      <x:c r="H9" s="12" t="n">
        <x:v>50</x:v>
      </x:c>
      <x:c r="I9" s="12" t="n">
        <x:v>0</x:v>
      </x:c>
      <x:c r="J9" s="16" t="n">
        <x:v>0</x:v>
      </x:c>
      <x:c r="K9" s="14" t="n">
        <x:v>0</x:v>
      </x:c>
      <x:c r="L9" s="14" t="n">
        <x:v>1</x:v>
      </x:c>
      <x:c r="M9" t="str">
        <x:v>OUT OF STOCK</x:v>
      </x:c>
      <x:c r="N9" t="str">
        <x:v>AKTIF</x:v>
      </x:c>
      <x:c r="O9" t="str"/>
      <x:c r="P9" t="str"/>
      <x:c r="Q9" t="str"/>
      <x:c r="R9" t="str"/>
      <x:c r="S9" t="str"/>
      <x:c r="T9" t="str"/>
      <x:c r="U9" s="18" t="n">
        <x:v>46134.041666666664</x:v>
      </x:c>
      <x:c r="V9" t="str">
        <x:v>INITIAL_IMPORT</x:v>
      </x:c>
    </x:row>
    <x:row r="10">
      <x:c r="A10" t="str">
        <x:v>PRD-JVS-0009</x:v>
      </x:c>
      <x:c r="B10" t="str">
        <x:v>JVS-0009</x:v>
      </x:c>
      <x:c r="C10" t="str">
        <x:v>As Ayun Kingpen Vespa PX Kecil Merk Omega / Polos</x:v>
      </x:c>
      <x:c r="D10" t="str">
        <x:v>Kaki-Kaki</x:v>
      </x:c>
      <x:c r="E10" t="str">
        <x:v>PX</x:v>
      </x:c>
      <x:c r="F10" t="str"/>
      <x:c r="G10" s="12" t="n">
        <x:v>28</x:v>
      </x:c>
      <x:c r="H10" s="12" t="n">
        <x:v>28</x:v>
      </x:c>
      <x:c r="I10" s="12" t="n">
        <x:v>0</x:v>
      </x:c>
      <x:c r="J10" s="16" t="n">
        <x:v>0</x:v>
      </x:c>
      <x:c r="K10" s="14" t="n">
        <x:v>1</x:v>
      </x:c>
      <x:c r="L10" s="14" t="n">
        <x:v>1</x:v>
      </x:c>
      <x:c r="M10" t="str">
        <x:v>LOW</x:v>
      </x:c>
      <x:c r="N10" t="str">
        <x:v>AKTIF</x:v>
      </x:c>
      <x:c r="O10" t="str"/>
      <x:c r="P10" t="str"/>
      <x:c r="Q10" t="str"/>
      <x:c r="R10" t="str"/>
      <x:c r="S10" t="str"/>
      <x:c r="T10" t="str"/>
      <x:c r="U10" s="18" t="n">
        <x:v>46134.041666666664</x:v>
      </x:c>
      <x:c r="V10" t="str">
        <x:v>INITIAL_IMPORT</x:v>
      </x:c>
    </x:row>
    <x:row r="11">
      <x:c r="A11" t="str">
        <x:v>PRD-JVS-0010</x:v>
      </x:c>
      <x:c r="B11" t="str">
        <x:v>JVS-0010</x:v>
      </x:c>
      <x:c r="C11" t="str">
        <x:v>As Ayun Kingpen Vespa PX Kecil Merk Vesgio</x:v>
      </x:c>
      <x:c r="D11" t="str">
        <x:v>Kaki-Kaki</x:v>
      </x:c>
      <x:c r="E11" t="str">
        <x:v>PX</x:v>
      </x:c>
      <x:c r="F11" t="str"/>
      <x:c r="G11" s="12" t="n">
        <x:v>45</x:v>
      </x:c>
      <x:c r="H11" s="12" t="n">
        <x:v>45</x:v>
      </x:c>
      <x:c r="I11" s="12" t="n">
        <x:v>0</x:v>
      </x:c>
      <x:c r="J11" s="16" t="n">
        <x:v>0</x:v>
      </x:c>
      <x:c r="K11" s="14" t="n">
        <x:v>0</x:v>
      </x:c>
      <x:c r="L11" s="14" t="n">
        <x:v>1</x:v>
      </x:c>
      <x:c r="M11" t="str">
        <x:v>OUT OF STOCK</x:v>
      </x:c>
      <x:c r="N11" t="str">
        <x:v>AKTIF</x:v>
      </x:c>
      <x:c r="O11" t="str"/>
      <x:c r="P11" t="str"/>
      <x:c r="Q11" t="str"/>
      <x:c r="R11" t="str"/>
      <x:c r="S11" t="str"/>
      <x:c r="T11" t="str"/>
      <x:c r="U11" s="18" t="n">
        <x:v>46134.041666666664</x:v>
      </x:c>
      <x:c r="V11" t="str">
        <x:v>INITIAL_IMPORT</x:v>
      </x:c>
    </x:row>
    <x:row r="12">
      <x:c r="A12" t="str">
        <x:v>PRD-JVS-0011</x:v>
      </x:c>
      <x:c r="B12" t="str">
        <x:v>JVS-0011</x:v>
      </x:c>
      <x:c r="C12" t="str">
        <x:v>As Ayun Kingpen Vespa Super Merk Lokal Omega</x:v>
      </x:c>
      <x:c r="D12" t="str">
        <x:v>Kaki-Kaki</x:v>
      </x:c>
      <x:c r="E12" t="str">
        <x:v>SUPER</x:v>
      </x:c>
      <x:c r="F12" t="str"/>
      <x:c r="G12" s="12" t="n">
        <x:v>35</x:v>
      </x:c>
      <x:c r="H12" s="12" t="n">
        <x:v>35</x:v>
      </x:c>
      <x:c r="I12" s="12" t="n">
        <x:v>0</x:v>
      </x:c>
      <x:c r="J12" s="16" t="n">
        <x:v>0</x:v>
      </x:c>
      <x:c r="K12" s="14" t="n">
        <x:v>2</x:v>
      </x:c>
      <x:c r="L12" s="14" t="n">
        <x:v>1</x:v>
      </x:c>
      <x:c r="M12" t="str">
        <x:v>READY</x:v>
      </x:c>
      <x:c r="N12" t="str">
        <x:v>AKTIF</x:v>
      </x:c>
      <x:c r="O12" t="str"/>
      <x:c r="P12" t="str"/>
      <x:c r="Q12" t="str"/>
      <x:c r="R12" t="str"/>
      <x:c r="S12" t="str"/>
      <x:c r="T12" t="str"/>
      <x:c r="U12" s="18" t="n">
        <x:v>46134.041666666664</x:v>
      </x:c>
      <x:c r="V12" t="str">
        <x:v>INITIAL_IMPORT</x:v>
      </x:c>
    </x:row>
    <x:row r="13">
      <x:c r="A13" t="str">
        <x:v>PRD-JVS-0012</x:v>
      </x:c>
      <x:c r="B13" t="str">
        <x:v>JVS-0012</x:v>
      </x:c>
      <x:c r="C13" t="str">
        <x:v>As Ayun Kingpen Vespa Super Merk Danmotor</x:v>
      </x:c>
      <x:c r="D13" t="str">
        <x:v>Kaki-Kaki</x:v>
      </x:c>
      <x:c r="E13" t="str">
        <x:v>SUPER</x:v>
      </x:c>
      <x:c r="F13" t="str"/>
      <x:c r="G13" s="12" t="n">
        <x:v>85</x:v>
      </x:c>
      <x:c r="H13" s="12" t="n">
        <x:v>85</x:v>
      </x:c>
      <x:c r="I13" s="12" t="n">
        <x:v>0</x:v>
      </x:c>
      <x:c r="J13" s="16" t="n">
        <x:v>0</x:v>
      </x:c>
      <x:c r="K13" s="14" t="n">
        <x:v>1</x:v>
      </x:c>
      <x:c r="L13" s="14" t="n">
        <x:v>1</x:v>
      </x:c>
      <x:c r="M13" t="str">
        <x:v>LOW</x:v>
      </x:c>
      <x:c r="N13" t="str">
        <x:v>AKTIF</x:v>
      </x:c>
      <x:c r="O13" t="str"/>
      <x:c r="P13" t="str"/>
      <x:c r="Q13" t="str"/>
      <x:c r="R13" t="str"/>
      <x:c r="S13" t="str"/>
      <x:c r="T13" t="str"/>
      <x:c r="U13" s="18" t="n">
        <x:v>46134.041666666664</x:v>
      </x:c>
      <x:c r="V13" t="str">
        <x:v>INITIAL_IMPORT</x:v>
      </x:c>
    </x:row>
    <x:row r="14">
      <x:c r="A14" t="str">
        <x:v>PRD-JVS-0013</x:v>
      </x:c>
      <x:c r="B14" t="str">
        <x:v>JVS-0013</x:v>
      </x:c>
      <x:c r="C14" t="str">
        <x:v>As Bos Trunion Per Vespa Super PS</x:v>
      </x:c>
      <x:c r="D14" t="str">
        <x:v>Servis</x:v>
      </x:c>
      <x:c r="E14" t="str">
        <x:v>SUPER, PS</x:v>
      </x:c>
      <x:c r="F14" t="str"/>
      <x:c r="G14" s="12" t="n">
        <x:v>78</x:v>
      </x:c>
      <x:c r="H14" s="12" t="n">
        <x:v>78</x:v>
      </x:c>
      <x:c r="I14" s="12" t="n">
        <x:v>0</x:v>
      </x:c>
      <x:c r="J14" s="16" t="n">
        <x:v>0</x:v>
      </x:c>
      <x:c r="K14" s="14" t="n">
        <x:v>2</x:v>
      </x:c>
      <x:c r="L14" s="14" t="n">
        <x:v>1</x:v>
      </x:c>
      <x:c r="M14" t="str">
        <x:v>READY</x:v>
      </x:c>
      <x:c r="N14" t="str">
        <x:v>AKTIF</x:v>
      </x:c>
      <x:c r="O14" t="str"/>
      <x:c r="P14" t="str"/>
      <x:c r="Q14" t="str"/>
      <x:c r="R14" t="str"/>
      <x:c r="S14" t="str"/>
      <x:c r="T14" t="str"/>
      <x:c r="U14" s="18" t="n">
        <x:v>46134.041666666664</x:v>
      </x:c>
      <x:c r="V14" t="str">
        <x:v>INITIAL_IMPORT</x:v>
      </x:c>
    </x:row>
    <x:row r="15">
      <x:c r="A15" t="str">
        <x:v>PRD-JVS-0014</x:v>
      </x:c>
      <x:c r="B15" t="str">
        <x:v>JVS-0014</x:v>
      </x:c>
      <x:c r="C15" t="str">
        <x:v>As Boss Sasis Vespa Largeframe Import</x:v>
      </x:c>
      <x:c r="D15" t="str">
        <x:v>Aksesoris</x:v>
      </x:c>
      <x:c r="E15" t="str"/>
      <x:c r="F15" t="str"/>
      <x:c r="G15" s="12" t="n">
        <x:v>68</x:v>
      </x:c>
      <x:c r="H15" s="12" t="n">
        <x:v>68</x:v>
      </x:c>
      <x:c r="I15" s="12" t="n">
        <x:v>0</x:v>
      </x:c>
      <x:c r="J15" s="16" t="n">
        <x:v>0</x:v>
      </x:c>
      <x:c r="K15" s="14" t="n">
        <x:v>2</x:v>
      </x:c>
      <x:c r="L15" s="14" t="n">
        <x:v>1</x:v>
      </x:c>
      <x:c r="M15" t="str">
        <x:v>READY</x:v>
      </x:c>
      <x:c r="N15" t="str">
        <x:v>AKTIF</x:v>
      </x:c>
      <x:c r="O15" t="str"/>
      <x:c r="P15" t="str"/>
      <x:c r="Q15" t="str"/>
      <x:c r="R15" t="str"/>
      <x:c r="S15" t="str"/>
      <x:c r="T15" t="str"/>
      <x:c r="U15" s="18" t="n">
        <x:v>46134.041666666664</x:v>
      </x:c>
      <x:c r="V15" t="str">
        <x:v>INITIAL_IMPORT</x:v>
      </x:c>
    </x:row>
    <x:row r="16">
      <x:c r="A16" t="str">
        <x:v>PRD-JVS-0015</x:v>
      </x:c>
      <x:c r="B16" t="str">
        <x:v>JVS-0015</x:v>
      </x:c>
      <x:c r="C16" t="str">
        <x:v>As Boss Sasis Vespa Largeframe Merk Danmotor</x:v>
      </x:c>
      <x:c r="D16" t="str">
        <x:v>Aksesoris</x:v>
      </x:c>
      <x:c r="E16" t="str"/>
      <x:c r="F16" t="str"/>
      <x:c r="G16" s="12" t="n">
        <x:v>100</x:v>
      </x:c>
      <x:c r="H16" s="12" t="n">
        <x:v>100</x:v>
      </x:c>
      <x:c r="I16" s="12" t="n">
        <x:v>0</x:v>
      </x:c>
      <x:c r="J16" s="16" t="n">
        <x:v>0</x:v>
      </x:c>
      <x:c r="K16" s="14" t="n">
        <x:v>1</x:v>
      </x:c>
      <x:c r="L16" s="14" t="n">
        <x:v>1</x:v>
      </x:c>
      <x:c r="M16" t="str">
        <x:v>LOW</x:v>
      </x:c>
      <x:c r="N16" t="str">
        <x:v>AKTIF</x:v>
      </x:c>
      <x:c r="O16" t="str"/>
      <x:c r="P16" t="str"/>
      <x:c r="Q16" t="str"/>
      <x:c r="R16" t="str"/>
      <x:c r="S16" t="str"/>
      <x:c r="T16" t="str"/>
      <x:c r="U16" s="18" t="n">
        <x:v>46134.041666666664</x:v>
      </x:c>
      <x:c r="V16" t="str">
        <x:v>INITIAL_IMPORT</x:v>
      </x:c>
    </x:row>
    <x:row r="17">
      <x:c r="A17" t="str">
        <x:v>PRD-JVS-0016</x:v>
      </x:c>
      <x:c r="B17" t="str">
        <x:v>JVS-0016</x:v>
      </x:c>
      <x:c r="C17" t="str">
        <x:v>As Gigi Borobudur Vespa PX</x:v>
      </x:c>
      <x:c r="D17" t="str">
        <x:v>Mesin</x:v>
      </x:c>
      <x:c r="E17" t="str">
        <x:v>PX</x:v>
      </x:c>
      <x:c r="F17" t="str"/>
      <x:c r="G17" s="12" t="str"/>
      <x:c r="H17" s="12" t="str"/>
      <x:c r="I17" s="12" t="str"/>
      <x:c r="J17" s="16" t="str"/>
      <x:c r="K17" s="14" t="n">
        <x:v>2</x:v>
      </x:c>
      <x:c r="L17" s="14" t="n">
        <x:v>1</x:v>
      </x:c>
      <x:c r="M17" t="str">
        <x:v>READY</x:v>
      </x:c>
      <x:c r="N17" t="str">
        <x:v>AKTIF</x:v>
      </x:c>
      <x:c r="O17" t="str"/>
      <x:c r="P17" t="str"/>
      <x:c r="Q17" t="str"/>
      <x:c r="R17" t="str"/>
      <x:c r="S17" t="str"/>
      <x:c r="T17" t="str"/>
      <x:c r="U17" s="18" t="n">
        <x:v>46134.041666666664</x:v>
      </x:c>
      <x:c r="V17" t="str">
        <x:v>INITIAL_IMPORT</x:v>
      </x:c>
    </x:row>
    <x:row r="18">
      <x:c r="A18" t="str">
        <x:v>PRD-JVS-0017</x:v>
      </x:c>
      <x:c r="B18" t="str">
        <x:v>JVS-0017</x:v>
      </x:c>
      <x:c r="C18" t="str">
        <x:v>As Komando Tahun Tua, as baut saja</x:v>
      </x:c>
      <x:c r="D18" t="str">
        <x:v>Servis</x:v>
      </x:c>
      <x:c r="E18" t="str"/>
      <x:c r="F18" t="str"/>
      <x:c r="G18" s="12" t="str"/>
      <x:c r="H18" s="12" t="str"/>
      <x:c r="I18" s="12" t="str"/>
      <x:c r="J18" s="16" t="str"/>
      <x:c r="K18" s="14" t="n">
        <x:v>1</x:v>
      </x:c>
      <x:c r="L18" s="14" t="n">
        <x:v>1</x:v>
      </x:c>
      <x:c r="M18" t="str">
        <x:v>LOW</x:v>
      </x:c>
      <x:c r="N18" t="str">
        <x:v>AKTIF</x:v>
      </x:c>
      <x:c r="O18" t="str"/>
      <x:c r="P18" t="str"/>
      <x:c r="Q18" t="str"/>
      <x:c r="R18" t="str"/>
      <x:c r="S18" t="str"/>
      <x:c r="T18" t="str"/>
      <x:c r="U18" s="18" t="n">
        <x:v>46134.041666666664</x:v>
      </x:c>
      <x:c r="V18" t="str">
        <x:v>INITIAL_IMPORT</x:v>
      </x:c>
    </x:row>
    <x:row r="19">
      <x:c r="A19" t="str">
        <x:v>PRD-JVS-0018</x:v>
      </x:c>
      <x:c r="B19" t="str">
        <x:v>JVS-0018</x:v>
      </x:c>
      <x:c r="C19" t="str">
        <x:v>As Komando Vespa Excel PXE Biasa</x:v>
      </x:c>
      <x:c r="D19" t="str">
        <x:v>Aksesoris</x:v>
      </x:c>
      <x:c r="E19" t="str">
        <x:v>EXCEL, PXE, PX</x:v>
      </x:c>
      <x:c r="F19" t="str"/>
      <x:c r="G19" s="12" t="str"/>
      <x:c r="H19" s="12" t="str"/>
      <x:c r="I19" s="12" t="str"/>
      <x:c r="J19" s="16" t="str"/>
      <x:c r="K19" s="14" t="n">
        <x:v>2</x:v>
      </x:c>
      <x:c r="L19" s="14" t="n">
        <x:v>1</x:v>
      </x:c>
      <x:c r="M19" t="str">
        <x:v>READY</x:v>
      </x:c>
      <x:c r="N19" t="str">
        <x:v>AKTIF</x:v>
      </x:c>
      <x:c r="O19" t="str"/>
      <x:c r="P19" t="str"/>
      <x:c r="Q19" t="str"/>
      <x:c r="R19" t="str"/>
      <x:c r="S19" t="str"/>
      <x:c r="T19" t="str"/>
      <x:c r="U19" s="18" t="n">
        <x:v>46134.041666666664</x:v>
      </x:c>
      <x:c r="V19" t="str">
        <x:v>INITIAL_IMPORT</x:v>
      </x:c>
    </x:row>
    <x:row r="20">
      <x:c r="A20" t="str">
        <x:v>PRD-JVS-0019</x:v>
      </x:c>
      <x:c r="B20" t="str">
        <x:v>JVS-0019</x:v>
      </x:c>
      <x:c r="C20" t="str">
        <x:v>As Komando Vespa Excel PXE Danmotor</x:v>
      </x:c>
      <x:c r="D20" t="str">
        <x:v>Aksesoris</x:v>
      </x:c>
      <x:c r="E20" t="str">
        <x:v>EXCEL, PXE, PX</x:v>
      </x:c>
      <x:c r="F20" t="str"/>
      <x:c r="G20" s="12" t="n">
        <x:v>80</x:v>
      </x:c>
      <x:c r="H20" s="12" t="n">
        <x:v>80</x:v>
      </x:c>
      <x:c r="I20" s="12" t="n">
        <x:v>0</x:v>
      </x:c>
      <x:c r="J20" s="16" t="n">
        <x:v>0</x:v>
      </x:c>
      <x:c r="K20" s="14" t="n">
        <x:v>1</x:v>
      </x:c>
      <x:c r="L20" s="14" t="n">
        <x:v>1</x:v>
      </x:c>
      <x:c r="M20" t="str">
        <x:v>LOW</x:v>
      </x:c>
      <x:c r="N20" t="str">
        <x:v>AKTIF</x:v>
      </x:c>
      <x:c r="O20" t="str"/>
      <x:c r="P20" t="str"/>
      <x:c r="Q20" t="str"/>
      <x:c r="R20" t="str"/>
      <x:c r="S20" t="str"/>
      <x:c r="T20" t="str"/>
      <x:c r="U20" s="18" t="n">
        <x:v>46134.041666666664</x:v>
      </x:c>
      <x:c r="V20" t="str">
        <x:v>INITIAL_IMPORT</x:v>
      </x:c>
    </x:row>
    <x:row r="21">
      <x:c r="A21" t="str">
        <x:v>PRD-JVS-0020</x:v>
      </x:c>
      <x:c r="B21" t="str">
        <x:v>JVS-0020</x:v>
      </x:c>
      <x:c r="C21" t="str">
        <x:v>As Komando Vespa PX</x:v>
      </x:c>
      <x:c r="D21" t="str">
        <x:v>Aksesoris</x:v>
      </x:c>
      <x:c r="E21" t="str">
        <x:v>PX</x:v>
      </x:c>
      <x:c r="F21" t="str"/>
      <x:c r="G21" s="12" t="n">
        <x:v>45</x:v>
      </x:c>
      <x:c r="H21" s="12" t="n">
        <x:v>45</x:v>
      </x:c>
      <x:c r="I21" s="12" t="n">
        <x:v>0</x:v>
      </x:c>
      <x:c r="J21" s="16" t="n">
        <x:v>0</x:v>
      </x:c>
      <x:c r="K21" s="14" t="n">
        <x:v>2</x:v>
      </x:c>
      <x:c r="L21" s="14" t="n">
        <x:v>1</x:v>
      </x:c>
      <x:c r="M21" t="str">
        <x:v>READY</x:v>
      </x:c>
      <x:c r="N21" t="str">
        <x:v>AKTIF</x:v>
      </x:c>
      <x:c r="O21" t="str"/>
      <x:c r="P21" t="str"/>
      <x:c r="Q21" t="str"/>
      <x:c r="R21" t="str"/>
      <x:c r="S21" t="str"/>
      <x:c r="T21" t="str"/>
      <x:c r="U21" s="18" t="n">
        <x:v>46134.041666666664</x:v>
      </x:c>
      <x:c r="V21" t="str">
        <x:v>INITIAL_IMPORT</x:v>
      </x:c>
    </x:row>
    <x:row r="22">
      <x:c r="A22" t="str">
        <x:v>PRD-JVS-0021</x:v>
      </x:c>
      <x:c r="B22" t="str">
        <x:v>JVS-0021</x:v>
      </x:c>
      <x:c r="C22" t="str">
        <x:v>As Rem Belakang bagian kampas Vespa Largeframe Super Sprint PX PXE Excel</x:v>
      </x:c>
      <x:c r="D22" t="str">
        <x:v>Kaki-Kaki</x:v>
      </x:c>
      <x:c r="E22" t="str">
        <x:v>EXCEL, PXE, PX, SUPER, SPRINT</x:v>
      </x:c>
      <x:c r="F22" t="str"/>
      <x:c r="G22" s="12" t="n">
        <x:v>25</x:v>
      </x:c>
      <x:c r="H22" s="12" t="n">
        <x:v>25</x:v>
      </x:c>
      <x:c r="I22" s="12" t="n">
        <x:v>0</x:v>
      </x:c>
      <x:c r="J22" s="16" t="n">
        <x:v>0</x:v>
      </x:c>
      <x:c r="K22" s="14" t="n">
        <x:v>3</x:v>
      </x:c>
      <x:c r="L22" s="14" t="n">
        <x:v>1</x:v>
      </x:c>
      <x:c r="M22" t="str">
        <x:v>READY</x:v>
      </x:c>
      <x:c r="N22" t="str">
        <x:v>AKTIF</x:v>
      </x:c>
      <x:c r="O22" t="str"/>
      <x:c r="P22" t="str"/>
      <x:c r="Q22" t="str"/>
      <x:c r="R22" t="str"/>
      <x:c r="S22" t="str"/>
      <x:c r="T22" t="str"/>
      <x:c r="U22" s="18" t="n">
        <x:v>46134.041666666664</x:v>
      </x:c>
      <x:c r="V22" t="str">
        <x:v>INITIAL_IMPORT</x:v>
      </x:c>
    </x:row>
    <x:row r="23">
      <x:c r="A23" t="str">
        <x:v>PRD-JVS-0022</x:v>
      </x:c>
      <x:c r="B23" t="str">
        <x:v>JVS-0022</x:v>
      </x:c>
      <x:c r="C23" t="str">
        <x:v>As Roda 22 Belakang Vespa Super, Sprint, PS, PX</x:v>
      </x:c>
      <x:c r="D23" t="str">
        <x:v>Kaki-Kaki</x:v>
      </x:c>
      <x:c r="E23" t="str">
        <x:v>PX, SUPER, SPRINT, PS</x:v>
      </x:c>
      <x:c r="F23" t="str"/>
      <x:c r="G23" s="12" t="n">
        <x:v>285</x:v>
      </x:c>
      <x:c r="H23" s="12" t="n">
        <x:v>285</x:v>
      </x:c>
      <x:c r="I23" s="12" t="n">
        <x:v>0</x:v>
      </x:c>
      <x:c r="J23" s="16" t="n">
        <x:v>0</x:v>
      </x:c>
      <x:c r="K23" s="14" t="n">
        <x:v>3</x:v>
      </x:c>
      <x:c r="L23" s="14" t="n">
        <x:v>1</x:v>
      </x:c>
      <x:c r="M23" t="str">
        <x:v>READY</x:v>
      </x:c>
      <x:c r="N23" t="str">
        <x:v>AKTIF</x:v>
      </x:c>
      <x:c r="O23" t="str"/>
      <x:c r="P23" t="str"/>
      <x:c r="Q23" t="str"/>
      <x:c r="R23" t="str"/>
      <x:c r="S23" t="str"/>
      <x:c r="T23" t="str"/>
      <x:c r="U23" s="18" t="n">
        <x:v>46134.041666666664</x:v>
      </x:c>
      <x:c r="V23" t="str">
        <x:v>INITIAL_IMPORT</x:v>
      </x:c>
    </x:row>
    <x:row r="24">
      <x:c r="A24" t="str">
        <x:v>PRD-JVS-0023</x:v>
      </x:c>
      <x:c r="B24" t="str">
        <x:v>JVS-0023</x:v>
      </x:c>
      <x:c r="C24" t="str">
        <x:v>As Roda 24 Belakang Vespa Excel</x:v>
      </x:c>
      <x:c r="D24" t="str">
        <x:v>Kaki-Kaki</x:v>
      </x:c>
      <x:c r="E24" t="str">
        <x:v>EXCEL</x:v>
      </x:c>
      <x:c r="F24" t="str"/>
      <x:c r="G24" s="12" t="n">
        <x:v>240</x:v>
      </x:c>
      <x:c r="H24" s="12" t="n">
        <x:v>240</x:v>
      </x:c>
      <x:c r="I24" s="12" t="n">
        <x:v>0</x:v>
      </x:c>
      <x:c r="J24" s="16" t="n">
        <x:v>0</x:v>
      </x:c>
      <x:c r="K24" s="14" t="n">
        <x:v>2</x:v>
      </x:c>
      <x:c r="L24" s="14" t="n">
        <x:v>1</x:v>
      </x:c>
      <x:c r="M24" t="str">
        <x:v>READY</x:v>
      </x:c>
      <x:c r="N24" t="str">
        <x:v>AKTIF</x:v>
      </x:c>
      <x:c r="O24" t="str"/>
      <x:c r="P24" t="str"/>
      <x:c r="Q24" t="str"/>
      <x:c r="R24" t="str"/>
      <x:c r="S24" t="str"/>
      <x:c r="T24" t="str"/>
      <x:c r="U24" s="18" t="n">
        <x:v>46134.041666666664</x:v>
      </x:c>
      <x:c r="V24" t="str">
        <x:v>INITIAL_IMPORT</x:v>
      </x:c>
    </x:row>
    <x:row r="25">
      <x:c r="A25" t="str">
        <x:v>PRD-JVS-0024</x:v>
      </x:c>
      <x:c r="B25" t="str">
        <x:v>JVS-0024</x:v>
      </x:c>
      <x:c r="C25" t="str">
        <x:v>As Roda Depan Vespa Excel Danmotor</x:v>
      </x:c>
      <x:c r="D25" t="str">
        <x:v>Kaki-Kaki</x:v>
      </x:c>
      <x:c r="E25" t="str">
        <x:v>EXCEL</x:v>
      </x:c>
      <x:c r="F25" t="str"/>
      <x:c r="G25" s="12" t="n">
        <x:v>125</x:v>
      </x:c>
      <x:c r="H25" s="12" t="n">
        <x:v>125</x:v>
      </x:c>
      <x:c r="I25" s="12" t="n">
        <x:v>0</x:v>
      </x:c>
      <x:c r="J25" s="16" t="n">
        <x:v>0</x:v>
      </x:c>
      <x:c r="K25" s="14" t="n">
        <x:v>1</x:v>
      </x:c>
      <x:c r="L25" s="14" t="n">
        <x:v>1</x:v>
      </x:c>
      <x:c r="M25" t="str">
        <x:v>LOW</x:v>
      </x:c>
      <x:c r="N25" t="str">
        <x:v>AKTIF</x:v>
      </x:c>
      <x:c r="O25" t="str"/>
      <x:c r="P25" t="str"/>
      <x:c r="Q25" t="str"/>
      <x:c r="R25" t="str"/>
      <x:c r="S25" t="str"/>
      <x:c r="T25" t="str"/>
      <x:c r="U25" s="18" t="n">
        <x:v>46134.041666666664</x:v>
      </x:c>
      <x:c r="V25" t="str">
        <x:v>INITIAL_IMPORT</x:v>
      </x:c>
    </x:row>
    <x:row r="26">
      <x:c r="A26" t="str">
        <x:v>PRD-JVS-0025</x:v>
      </x:c>
      <x:c r="B26" t="str">
        <x:v>JVS-0025</x:v>
      </x:c>
      <x:c r="C26" t="str">
        <x:v>As Roda Depan Vespa PX Lama</x:v>
      </x:c>
      <x:c r="D26" t="str">
        <x:v>Kaki-Kaki</x:v>
      </x:c>
      <x:c r="E26" t="str">
        <x:v>PX</x:v>
      </x:c>
      <x:c r="F26" t="str"/>
      <x:c r="G26" s="12" t="n">
        <x:v>65</x:v>
      </x:c>
      <x:c r="H26" s="12" t="n">
        <x:v>65</x:v>
      </x:c>
      <x:c r="I26" s="12" t="n">
        <x:v>0</x:v>
      </x:c>
      <x:c r="J26" s="16" t="n">
        <x:v>0</x:v>
      </x:c>
      <x:c r="K26" s="14" t="n">
        <x:v>4</x:v>
      </x:c>
      <x:c r="L26" s="14" t="n">
        <x:v>1</x:v>
      </x:c>
      <x:c r="M26" t="str">
        <x:v>READY</x:v>
      </x:c>
      <x:c r="N26" t="str">
        <x:v>AKTIF</x:v>
      </x:c>
      <x:c r="O26" t="str"/>
      <x:c r="P26" t="str"/>
      <x:c r="Q26" t="str"/>
      <x:c r="R26" t="str"/>
      <x:c r="S26" t="str"/>
      <x:c r="T26" t="str"/>
      <x:c r="U26" s="18" t="n">
        <x:v>46134.041666666664</x:v>
      </x:c>
      <x:c r="V26" t="str">
        <x:v>INITIAL_IMPORT</x:v>
      </x:c>
    </x:row>
    <x:row r="27">
      <x:c r="A27" t="str">
        <x:v>PRD-JVS-0026</x:v>
      </x:c>
      <x:c r="B27" t="str">
        <x:v>JVS-0026</x:v>
      </x:c>
      <x:c r="C27" t="str">
        <x:v>As Roda Depan Vespa Super, Sprint, PS</x:v>
      </x:c>
      <x:c r="D27" t="str">
        <x:v>Kaki-Kaki</x:v>
      </x:c>
      <x:c r="E27" t="str">
        <x:v>SUPER, SPRINT, PS</x:v>
      </x:c>
      <x:c r="F27" t="str"/>
      <x:c r="G27" s="12" t="n">
        <x:v>65</x:v>
      </x:c>
      <x:c r="H27" s="12" t="n">
        <x:v>65</x:v>
      </x:c>
      <x:c r="I27" s="12" t="n">
        <x:v>0</x:v>
      </x:c>
      <x:c r="J27" s="16" t="n">
        <x:v>0</x:v>
      </x:c>
      <x:c r="K27" s="14" t="n">
        <x:v>2</x:v>
      </x:c>
      <x:c r="L27" s="14" t="n">
        <x:v>1</x:v>
      </x:c>
      <x:c r="M27" t="str">
        <x:v>READY</x:v>
      </x:c>
      <x:c r="N27" t="str">
        <x:v>AKTIF</x:v>
      </x:c>
      <x:c r="O27" t="str"/>
      <x:c r="P27" t="str"/>
      <x:c r="Q27" t="str"/>
      <x:c r="R27" t="str"/>
      <x:c r="S27" t="str"/>
      <x:c r="T27" t="str"/>
      <x:c r="U27" s="18" t="n">
        <x:v>46134.041666666664</x:v>
      </x:c>
      <x:c r="V27" t="str">
        <x:v>INITIAL_IMPORT</x:v>
      </x:c>
    </x:row>
    <x:row r="28">
      <x:c r="A28" t="str">
        <x:v>PRD-JVS-0027</x:v>
      </x:c>
      <x:c r="B28" t="str">
        <x:v>JVS-0027</x:v>
      </x:c>
      <x:c r="C28" t="str">
        <x:v>As Selah Vespa PX</x:v>
      </x:c>
      <x:c r="D28" t="str">
        <x:v>Mesin</x:v>
      </x:c>
      <x:c r="E28" t="str">
        <x:v>PX</x:v>
      </x:c>
      <x:c r="F28" t="str"/>
      <x:c r="G28" s="12" t="n">
        <x:v>90</x:v>
      </x:c>
      <x:c r="H28" s="12" t="n">
        <x:v>90</x:v>
      </x:c>
      <x:c r="I28" s="12" t="n">
        <x:v>0</x:v>
      </x:c>
      <x:c r="J28" s="16" t="n">
        <x:v>0</x:v>
      </x:c>
      <x:c r="K28" s="14" t="n">
        <x:v>2</x:v>
      </x:c>
      <x:c r="L28" s="14" t="n">
        <x:v>1</x:v>
      </x:c>
      <x:c r="M28" t="str">
        <x:v>READY</x:v>
      </x:c>
      <x:c r="N28" t="str">
        <x:v>AKTIF</x:v>
      </x:c>
      <x:c r="O28" t="str"/>
      <x:c r="P28" t="str"/>
      <x:c r="Q28" t="str"/>
      <x:c r="R28" t="str"/>
      <x:c r="S28" t="str"/>
      <x:c r="T28" t="str"/>
      <x:c r="U28" s="18" t="n">
        <x:v>46134.041666666664</x:v>
      </x:c>
      <x:c r="V28" t="str">
        <x:v>INITIAL_IMPORT</x:v>
      </x:c>
    </x:row>
    <x:row r="29">
      <x:c r="A29" t="str">
        <x:v>PRD-JVS-0028</x:v>
      </x:c>
      <x:c r="B29" t="str">
        <x:v>JVS-0028</x:v>
      </x:c>
      <x:c r="C29" t="str">
        <x:v>As selah Vespa Super</x:v>
      </x:c>
      <x:c r="D29" t="str">
        <x:v>Mesin</x:v>
      </x:c>
      <x:c r="E29" t="str">
        <x:v>SUPER</x:v>
      </x:c>
      <x:c r="F29" t="str"/>
      <x:c r="G29" s="12" t="n">
        <x:v>90</x:v>
      </x:c>
      <x:c r="H29" s="12" t="n">
        <x:v>90</x:v>
      </x:c>
      <x:c r="I29" s="12" t="n">
        <x:v>0</x:v>
      </x:c>
      <x:c r="J29" s="16" t="n">
        <x:v>0</x:v>
      </x:c>
      <x:c r="K29" s="14" t="n">
        <x:v>4</x:v>
      </x:c>
      <x:c r="L29" s="14" t="n">
        <x:v>1</x:v>
      </x:c>
      <x:c r="M29" t="str">
        <x:v>READY</x:v>
      </x:c>
      <x:c r="N29" t="str">
        <x:v>AKTIF</x:v>
      </x:c>
      <x:c r="O29" t="str"/>
      <x:c r="P29" t="str"/>
      <x:c r="Q29" t="str"/>
      <x:c r="R29" t="str"/>
      <x:c r="S29" t="str"/>
      <x:c r="T29" t="str"/>
      <x:c r="U29" s="18" t="n">
        <x:v>46134.041666666664</x:v>
      </x:c>
      <x:c r="V29" t="str">
        <x:v>INITIAL_IMPORT</x:v>
      </x:c>
    </x:row>
    <x:row r="30">
      <x:c r="A30" t="str">
        <x:v>PRD-JVS-0029</x:v>
      </x:c>
      <x:c r="B30" t="str">
        <x:v>JVS-0029</x:v>
      </x:c>
      <x:c r="C30" t="str">
        <x:v>Backplate plat tekanan kopling PX PS Super 78 IMPORT</x:v>
      </x:c>
      <x:c r="D30" t="str">
        <x:v>Mesin</x:v>
      </x:c>
      <x:c r="E30" t="str">
        <x:v>PX, SUPER, PS</x:v>
      </x:c>
      <x:c r="F30" t="str"/>
      <x:c r="G30" s="12" t="n">
        <x:v>85</x:v>
      </x:c>
      <x:c r="H30" s="12" t="n">
        <x:v>85</x:v>
      </x:c>
      <x:c r="I30" s="12" t="n">
        <x:v>0</x:v>
      </x:c>
      <x:c r="J30" s="16" t="n">
        <x:v>0</x:v>
      </x:c>
      <x:c r="K30" s="14" t="n">
        <x:v>2</x:v>
      </x:c>
      <x:c r="L30" s="14" t="n">
        <x:v>1</x:v>
      </x:c>
      <x:c r="M30" t="str">
        <x:v>READY</x:v>
      </x:c>
      <x:c r="N30" t="str">
        <x:v>AKTIF</x:v>
      </x:c>
      <x:c r="O30" t="str"/>
      <x:c r="P30" t="str"/>
      <x:c r="Q30" t="str"/>
      <x:c r="R30" t="str"/>
      <x:c r="S30" t="str"/>
      <x:c r="T30" t="str"/>
      <x:c r="U30" s="18" t="n">
        <x:v>46134.041666666664</x:v>
      </x:c>
      <x:c r="V30" t="str">
        <x:v>INITIAL_IMPORT</x:v>
      </x:c>
    </x:row>
    <x:row r="31">
      <x:c r="A31" t="str">
        <x:v>PRD-JVS-0030</x:v>
      </x:c>
      <x:c r="B31" t="str">
        <x:v>JVS-0030</x:v>
      </x:c>
      <x:c r="C31" t="str">
        <x:v>Backplate plat tekanan kopling PXE Excel Danmotor</x:v>
      </x:c>
      <x:c r="D31" t="str">
        <x:v>Mesin</x:v>
      </x:c>
      <x:c r="E31" t="str">
        <x:v>EXCEL, PXE, PX</x:v>
      </x:c>
      <x:c r="F31" t="str"/>
      <x:c r="G31" s="12" t="n">
        <x:v>155</x:v>
      </x:c>
      <x:c r="H31" s="12" t="n">
        <x:v>155</x:v>
      </x:c>
      <x:c r="I31" s="12" t="n">
        <x:v>0</x:v>
      </x:c>
      <x:c r="J31" s="16" t="n">
        <x:v>0</x:v>
      </x:c>
      <x:c r="K31" s="14" t="n">
        <x:v>1</x:v>
      </x:c>
      <x:c r="L31" s="14" t="n">
        <x:v>1</x:v>
      </x:c>
      <x:c r="M31" t="str">
        <x:v>LOW</x:v>
      </x:c>
      <x:c r="N31" t="str">
        <x:v>AKTIF</x:v>
      </x:c>
      <x:c r="O31" t="str"/>
      <x:c r="P31" t="str"/>
      <x:c r="Q31" t="str"/>
      <x:c r="R31" t="str"/>
      <x:c r="S31" t="str"/>
      <x:c r="T31" t="str"/>
      <x:c r="U31" s="18" t="n">
        <x:v>46134.041666666664</x:v>
      </x:c>
      <x:c r="V31" t="str">
        <x:v>INITIAL_IMPORT</x:v>
      </x:c>
    </x:row>
    <x:row r="32">
      <x:c r="A32" t="str">
        <x:v>PRD-JVS-0031</x:v>
      </x:c>
      <x:c r="B32" t="str">
        <x:v>JVS-0031</x:v>
      </x:c>
      <x:c r="C32" t="str">
        <x:v>Backplate plat tekanan kopling PXE Excel Import</x:v>
      </x:c>
      <x:c r="D32" t="str">
        <x:v>Mesin</x:v>
      </x:c>
      <x:c r="E32" t="str">
        <x:v>EXCEL, PXE, PX</x:v>
      </x:c>
      <x:c r="F32" t="str"/>
      <x:c r="G32" s="12" t="n">
        <x:v>95</x:v>
      </x:c>
      <x:c r="H32" s="12" t="n">
        <x:v>95</x:v>
      </x:c>
      <x:c r="I32" s="12" t="n">
        <x:v>0</x:v>
      </x:c>
      <x:c r="J32" s="16" t="n">
        <x:v>0</x:v>
      </x:c>
      <x:c r="K32" s="14" t="n">
        <x:v>1</x:v>
      </x:c>
      <x:c r="L32" s="14" t="n">
        <x:v>1</x:v>
      </x:c>
      <x:c r="M32" t="str">
        <x:v>LOW</x:v>
      </x:c>
      <x:c r="N32" t="str">
        <x:v>AKTIF</x:v>
      </x:c>
      <x:c r="O32" t="str"/>
      <x:c r="P32" t="str"/>
      <x:c r="Q32" t="str"/>
      <x:c r="R32" t="str"/>
      <x:c r="S32" t="str"/>
      <x:c r="T32" t="str"/>
      <x:c r="U32" s="18" t="n">
        <x:v>46134.041666666664</x:v>
      </x:c>
      <x:c r="V32" t="str">
        <x:v>INITIAL_IMPORT</x:v>
      </x:c>
    </x:row>
    <x:row r="33">
      <x:c r="A33" t="str">
        <x:v>PRD-JVS-0032</x:v>
      </x:c>
      <x:c r="B33" t="str">
        <x:v>JVS-0032</x:v>
      </x:c>
      <x:c r="C33" t="str">
        <x:v>Backplate plat tekanan kopling Super Danmotor</x:v>
      </x:c>
      <x:c r="D33" t="str">
        <x:v>Mesin</x:v>
      </x:c>
      <x:c r="E33" t="str">
        <x:v>SUPER</x:v>
      </x:c>
      <x:c r="F33" t="str"/>
      <x:c r="G33" s="12" t="n">
        <x:v>145</x:v>
      </x:c>
      <x:c r="H33" s="12" t="n">
        <x:v>145</x:v>
      </x:c>
      <x:c r="I33" s="12" t="n">
        <x:v>0</x:v>
      </x:c>
      <x:c r="J33" s="16" t="n">
        <x:v>0</x:v>
      </x:c>
      <x:c r="K33" s="14" t="n">
        <x:v>1</x:v>
      </x:c>
      <x:c r="L33" s="14" t="n">
        <x:v>1</x:v>
      </x:c>
      <x:c r="M33" t="str">
        <x:v>LOW</x:v>
      </x:c>
      <x:c r="N33" t="str">
        <x:v>AKTIF</x:v>
      </x:c>
      <x:c r="O33" t="str"/>
      <x:c r="P33" t="str"/>
      <x:c r="Q33" t="str"/>
      <x:c r="R33" t="str"/>
      <x:c r="S33" t="str"/>
      <x:c r="T33" t="str"/>
      <x:c r="U33" s="18" t="n">
        <x:v>46134.041666666664</x:v>
      </x:c>
      <x:c r="V33" t="str">
        <x:v>INITIAL_IMPORT</x:v>
      </x:c>
    </x:row>
    <x:row r="34">
      <x:c r="A34" t="str">
        <x:v>PRD-JVS-0033</x:v>
      </x:c>
      <x:c r="B34" t="str">
        <x:v>JVS-0033</x:v>
      </x:c>
      <x:c r="C34" t="str">
        <x:v>Backplate plat tekanan kopling Super Lama Import</x:v>
      </x:c>
      <x:c r="D34" t="str">
        <x:v>Mesin</x:v>
      </x:c>
      <x:c r="E34" t="str">
        <x:v>SUPER</x:v>
      </x:c>
      <x:c r="F34" t="str"/>
      <x:c r="G34" s="12" t="n">
        <x:v>80</x:v>
      </x:c>
      <x:c r="H34" s="12" t="n">
        <x:v>80</x:v>
      </x:c>
      <x:c r="I34" s="12" t="n">
        <x:v>0</x:v>
      </x:c>
      <x:c r="J34" s="16" t="n">
        <x:v>0</x:v>
      </x:c>
      <x:c r="K34" s="14" t="n">
        <x:v>1</x:v>
      </x:c>
      <x:c r="L34" s="14" t="n">
        <x:v>1</x:v>
      </x:c>
      <x:c r="M34" t="str">
        <x:v>LOW</x:v>
      </x:c>
      <x:c r="N34" t="str">
        <x:v>AKTIF</x:v>
      </x:c>
      <x:c r="O34" t="str"/>
      <x:c r="P34" t="str"/>
      <x:c r="Q34" t="str"/>
      <x:c r="R34" t="str"/>
      <x:c r="S34" t="str"/>
      <x:c r="T34" t="str"/>
      <x:c r="U34" s="18" t="n">
        <x:v>46134.041666666664</x:v>
      </x:c>
      <x:c r="V34" t="str">
        <x:v>INITIAL_IMPORT</x:v>
      </x:c>
    </x:row>
    <x:row r="35">
      <x:c r="A35" t="str">
        <x:v>PRD-JVS-0034</x:v>
      </x:c>
      <x:c r="B35" t="str">
        <x:v>JVS-0034</x:v>
      </x:c>
      <x:c r="C35" t="str">
        <x:v>Backrak Model Pendek PX</x:v>
      </x:c>
      <x:c r="D35" t="str">
        <x:v>Aksesoris</x:v>
      </x:c>
      <x:c r="E35" t="str">
        <x:v>PX</x:v>
      </x:c>
      <x:c r="F35" t="str"/>
      <x:c r="G35" s="12" t="n">
        <x:v>120</x:v>
      </x:c>
      <x:c r="H35" s="12" t="n">
        <x:v>120</x:v>
      </x:c>
      <x:c r="I35" s="12" t="n">
        <x:v>0</x:v>
      </x:c>
      <x:c r="J35" s="16" t="n">
        <x:v>0</x:v>
      </x:c>
      <x:c r="K35" s="14" t="n">
        <x:v>1</x:v>
      </x:c>
      <x:c r="L35" s="14" t="n">
        <x:v>1</x:v>
      </x:c>
      <x:c r="M35" t="str">
        <x:v>LOW</x:v>
      </x:c>
      <x:c r="N35" t="str">
        <x:v>AKTIF</x:v>
      </x:c>
      <x:c r="O35" t="str"/>
      <x:c r="P35" t="str"/>
      <x:c r="Q35" t="str"/>
      <x:c r="R35" t="str"/>
      <x:c r="S35" t="str"/>
      <x:c r="T35" t="str"/>
      <x:c r="U35" s="18" t="n">
        <x:v>46134.041666666664</x:v>
      </x:c>
      <x:c r="V35" t="str">
        <x:v>INITIAL_IMPORT</x:v>
      </x:c>
    </x:row>
    <x:row r="36">
      <x:c r="A36" t="str">
        <x:v>PRD-JVS-0035</x:v>
      </x:c>
      <x:c r="B36" t="str">
        <x:v>JVS-0035</x:v>
      </x:c>
      <x:c r="C36" t="str">
        <x:v>Backrak Model Pendek Super</x:v>
      </x:c>
      <x:c r="D36" t="str">
        <x:v>Servis</x:v>
      </x:c>
      <x:c r="E36" t="str">
        <x:v>SUPER</x:v>
      </x:c>
      <x:c r="F36" t="str"/>
      <x:c r="G36" s="12" t="n">
        <x:v>120</x:v>
      </x:c>
      <x:c r="H36" s="12" t="n">
        <x:v>120</x:v>
      </x:c>
      <x:c r="I36" s="12" t="n">
        <x:v>0</x:v>
      </x:c>
      <x:c r="J36" s="16" t="n">
        <x:v>0</x:v>
      </x:c>
      <x:c r="K36" s="14" t="n">
        <x:v>1</x:v>
      </x:c>
      <x:c r="L36" s="14" t="n">
        <x:v>1</x:v>
      </x:c>
      <x:c r="M36" t="str">
        <x:v>LOW</x:v>
      </x:c>
      <x:c r="N36" t="str">
        <x:v>AKTIF</x:v>
      </x:c>
      <x:c r="O36" t="str"/>
      <x:c r="P36" t="str"/>
      <x:c r="Q36" t="str"/>
      <x:c r="R36" t="str"/>
      <x:c r="S36" t="str"/>
      <x:c r="T36" t="str"/>
      <x:c r="U36" s="18" t="n">
        <x:v>46134.041666666664</x:v>
      </x:c>
      <x:c r="V36" t="str">
        <x:v>INITIAL_IMPORT</x:v>
      </x:c>
    </x:row>
    <x:row r="37">
      <x:c r="A37" t="str">
        <x:v>PRD-JVS-0036</x:v>
      </x:c>
      <x:c r="B37" t="str">
        <x:v>JVS-0036</x:v>
      </x:c>
      <x:c r="C37" t="str">
        <x:v>Bak Versneling Vespa Excel Merk Danmotor</x:v>
      </x:c>
      <x:c r="D37" t="str">
        <x:v>Aksesoris</x:v>
      </x:c>
      <x:c r="E37" t="str">
        <x:v>EXCEL</x:v>
      </x:c>
      <x:c r="F37" t="str"/>
      <x:c r="G37" s="12" t="n">
        <x:v>175</x:v>
      </x:c>
      <x:c r="H37" s="12" t="n">
        <x:v>175</x:v>
      </x:c>
      <x:c r="I37" s="12" t="n">
        <x:v>0</x:v>
      </x:c>
      <x:c r="J37" s="16" t="n">
        <x:v>0</x:v>
      </x:c>
      <x:c r="K37" s="14" t="n">
        <x:v>1</x:v>
      </x:c>
      <x:c r="L37" s="14" t="n">
        <x:v>1</x:v>
      </x:c>
      <x:c r="M37" t="str">
        <x:v>LOW</x:v>
      </x:c>
      <x:c r="N37" t="str">
        <x:v>AKTIF</x:v>
      </x:c>
      <x:c r="O37" t="str"/>
      <x:c r="P37" t="str"/>
      <x:c r="Q37" t="str"/>
      <x:c r="R37" t="str"/>
      <x:c r="S37" t="str"/>
      <x:c r="T37" t="str"/>
      <x:c r="U37" s="18" t="n">
        <x:v>46134.041666666664</x:v>
      </x:c>
      <x:c r="V37" t="str">
        <x:v>INITIAL_IMPORT</x:v>
      </x:c>
    </x:row>
    <x:row r="38">
      <x:c r="A38" t="str">
        <x:v>PRD-JVS-0037</x:v>
      </x:c>
      <x:c r="B38" t="str">
        <x:v>JVS-0037</x:v>
      </x:c>
      <x:c r="C38" t="str">
        <x:v>Bak Versneling Vespa PX Merk Lokal</x:v>
      </x:c>
      <x:c r="D38" t="str">
        <x:v>Aksesoris</x:v>
      </x:c>
      <x:c r="E38" t="str">
        <x:v>PX</x:v>
      </x:c>
      <x:c r="F38" t="str"/>
      <x:c r="G38" s="12" t="n">
        <x:v>85</x:v>
      </x:c>
      <x:c r="H38" s="12" t="n">
        <x:v>85</x:v>
      </x:c>
      <x:c r="I38" s="12" t="n">
        <x:v>0</x:v>
      </x:c>
      <x:c r="J38" s="16" t="n">
        <x:v>0</x:v>
      </x:c>
      <x:c r="K38" s="14" t="n">
        <x:v>1</x:v>
      </x:c>
      <x:c r="L38" s="14" t="n">
        <x:v>1</x:v>
      </x:c>
      <x:c r="M38" t="str">
        <x:v>LOW</x:v>
      </x:c>
      <x:c r="N38" t="str">
        <x:v>AKTIF</x:v>
      </x:c>
      <x:c r="O38" t="str"/>
      <x:c r="P38" t="str"/>
      <x:c r="Q38" t="str"/>
      <x:c r="R38" t="str"/>
      <x:c r="S38" t="str"/>
      <x:c r="T38" t="str"/>
      <x:c r="U38" s="18" t="n">
        <x:v>46134.041666666664</x:v>
      </x:c>
      <x:c r="V38" t="str">
        <x:v>INITIAL_IMPORT</x:v>
      </x:c>
    </x:row>
    <x:row r="39">
      <x:c r="A39" t="str">
        <x:v>PRD-JVS-0038</x:v>
      </x:c>
      <x:c r="B39" t="str">
        <x:v>JVS-0038</x:v>
      </x:c>
      <x:c r="C39" t="str">
        <x:v>Bak Versneling Vespa PX Merk Vesgio</x:v>
      </x:c>
      <x:c r="D39" t="str">
        <x:v>Aksesoris</x:v>
      </x:c>
      <x:c r="E39" t="str">
        <x:v>PX</x:v>
      </x:c>
      <x:c r="F39" t="str"/>
      <x:c r="G39" s="12" t="n">
        <x:v>115</x:v>
      </x:c>
      <x:c r="H39" s="12" t="n">
        <x:v>115</x:v>
      </x:c>
      <x:c r="I39" s="12" t="n">
        <x:v>0</x:v>
      </x:c>
      <x:c r="J39" s="16" t="n">
        <x:v>0</x:v>
      </x:c>
      <x:c r="K39" s="14" t="n">
        <x:v>1</x:v>
      </x:c>
      <x:c r="L39" s="14" t="n">
        <x:v>1</x:v>
      </x:c>
      <x:c r="M39" t="str">
        <x:v>LOW</x:v>
      </x:c>
      <x:c r="N39" t="str">
        <x:v>AKTIF</x:v>
      </x:c>
      <x:c r="O39" t="str"/>
      <x:c r="P39" t="str"/>
      <x:c r="Q39" t="str"/>
      <x:c r="R39" t="str"/>
      <x:c r="S39" t="str"/>
      <x:c r="T39" t="str"/>
      <x:c r="U39" s="18" t="n">
        <x:v>46134.041666666664</x:v>
      </x:c>
      <x:c r="V39" t="str">
        <x:v>INITIAL_IMPORT</x:v>
      </x:c>
    </x:row>
    <x:row r="40">
      <x:c r="A40" t="str">
        <x:v>PRD-JVS-0039</x:v>
      </x:c>
      <x:c r="B40" t="str">
        <x:v>JVS-0039</x:v>
      </x:c>
      <x:c r="C40" t="str">
        <x:v>Bak Versneling Vespa Super Sprint Bajaj Merk Lokal</x:v>
      </x:c>
      <x:c r="D40" t="str">
        <x:v>Servis</x:v>
      </x:c>
      <x:c r="E40" t="str">
        <x:v>SUPER, SPRINT, BAJAJ</x:v>
      </x:c>
      <x:c r="F40" t="str"/>
      <x:c r="G40" s="12" t="n">
        <x:v>85</x:v>
      </x:c>
      <x:c r="H40" s="12" t="n">
        <x:v>85</x:v>
      </x:c>
      <x:c r="I40" s="12" t="n">
        <x:v>0</x:v>
      </x:c>
      <x:c r="J40" s="16" t="n">
        <x:v>0</x:v>
      </x:c>
      <x:c r="K40" s="14" t="n">
        <x:v>1</x:v>
      </x:c>
      <x:c r="L40" s="14" t="n">
        <x:v>1</x:v>
      </x:c>
      <x:c r="M40" t="str">
        <x:v>LOW</x:v>
      </x:c>
      <x:c r="N40" t="str">
        <x:v>AKTIF</x:v>
      </x:c>
      <x:c r="O40" t="str"/>
      <x:c r="P40" t="str"/>
      <x:c r="Q40" t="str"/>
      <x:c r="R40" t="str"/>
      <x:c r="S40" t="str"/>
      <x:c r="T40" t="str"/>
      <x:c r="U40" s="18" t="n">
        <x:v>46134.041666666664</x:v>
      </x:c>
      <x:c r="V40" t="str">
        <x:v>INITIAL_IMPORT</x:v>
      </x:c>
    </x:row>
    <x:row r="41">
      <x:c r="A41" t="str">
        <x:v>PRD-JVS-0040</x:v>
      </x:c>
      <x:c r="B41" t="str">
        <x:v>JVS-0040</x:v>
      </x:c>
      <x:c r="C41" t="str">
        <x:v>Balhub Kepala babi as ayun vespa super sprint PS Silking</x:v>
      </x:c>
      <x:c r="D41" t="str">
        <x:v>Kaki-Kaki</x:v>
      </x:c>
      <x:c r="E41" t="str">
        <x:v>SUPER, SPRINT, PS</x:v>
      </x:c>
      <x:c r="F41" t="str"/>
      <x:c r="G41" s="12" t="n">
        <x:v>285</x:v>
      </x:c>
      <x:c r="H41" s="12" t="n">
        <x:v>285</x:v>
      </x:c>
      <x:c r="I41" s="12" t="n">
        <x:v>0</x:v>
      </x:c>
      <x:c r="J41" s="16" t="n">
        <x:v>0</x:v>
      </x:c>
      <x:c r="K41" s="14" t="n">
        <x:v>1</x:v>
      </x:c>
      <x:c r="L41" s="14" t="n">
        <x:v>1</x:v>
      </x:c>
      <x:c r="M41" t="str">
        <x:v>LOW</x:v>
      </x:c>
      <x:c r="N41" t="str">
        <x:v>AKTIF</x:v>
      </x:c>
      <x:c r="O41" t="str"/>
      <x:c r="P41" t="str"/>
      <x:c r="Q41" t="str"/>
      <x:c r="R41" t="str"/>
      <x:c r="S41" t="str"/>
      <x:c r="T41" t="str"/>
      <x:c r="U41" s="18" t="n">
        <x:v>46134.041666666664</x:v>
      </x:c>
      <x:c r="V41" t="str">
        <x:v>INITIAL_IMPORT</x:v>
      </x:c>
    </x:row>
    <x:row r="42">
      <x:c r="A42" t="str">
        <x:v>PRD-JVS-0041</x:v>
      </x:c>
      <x:c r="B42" t="str">
        <x:v>JVS-0041</x:v>
      </x:c>
      <x:c r="C42" t="str">
        <x:v>Balhub Palababi As Roda Ayun Depan Excel Taiwan</x:v>
      </x:c>
      <x:c r="D42" t="str">
        <x:v>Kaki-Kaki</x:v>
      </x:c>
      <x:c r="E42" t="str">
        <x:v>EXCEL</x:v>
      </x:c>
      <x:c r="F42" t="str"/>
      <x:c r="G42" s="12" t="n">
        <x:v>250</x:v>
      </x:c>
      <x:c r="H42" s="12" t="n">
        <x:v>250</x:v>
      </x:c>
      <x:c r="I42" s="12" t="n">
        <x:v>0</x:v>
      </x:c>
      <x:c r="J42" s="16" t="n">
        <x:v>0</x:v>
      </x:c>
      <x:c r="K42" s="14" t="n">
        <x:v>1</x:v>
      </x:c>
      <x:c r="L42" s="14" t="n">
        <x:v>1</x:v>
      </x:c>
      <x:c r="M42" t="str">
        <x:v>LOW</x:v>
      </x:c>
      <x:c r="N42" t="str">
        <x:v>AKTIF</x:v>
      </x:c>
      <x:c r="O42" t="str"/>
      <x:c r="P42" t="str"/>
      <x:c r="Q42" t="str"/>
      <x:c r="R42" t="str"/>
      <x:c r="S42" t="str"/>
      <x:c r="T42" t="str"/>
      <x:c r="U42" s="18" t="n">
        <x:v>46134.041666666664</x:v>
      </x:c>
      <x:c r="V42" t="str">
        <x:v>INITIAL_IMPORT</x:v>
      </x:c>
    </x:row>
    <x:row r="43">
      <x:c r="A43" t="str">
        <x:v>PRD-JVS-0042</x:v>
      </x:c>
      <x:c r="B43" t="str">
        <x:v>JVS-0042</x:v>
      </x:c>
      <x:c r="C43" t="str">
        <x:v>Balhub Palababi As Roda Ayun Depan PX Lama</x:v>
      </x:c>
      <x:c r="D43" t="str">
        <x:v>Kaki-Kaki</x:v>
      </x:c>
      <x:c r="E43" t="str">
        <x:v>PX</x:v>
      </x:c>
      <x:c r="F43" t="str"/>
      <x:c r="G43" s="12" t="n">
        <x:v>220</x:v>
      </x:c>
      <x:c r="H43" s="12" t="n">
        <x:v>220</x:v>
      </x:c>
      <x:c r="I43" s="12" t="n">
        <x:v>0</x:v>
      </x:c>
      <x:c r="J43" s="16" t="n">
        <x:v>0</x:v>
      </x:c>
      <x:c r="K43" s="14" t="n">
        <x:v>1</x:v>
      </x:c>
      <x:c r="L43" s="14" t="n">
        <x:v>1</x:v>
      </x:c>
      <x:c r="M43" t="str">
        <x:v>LOW</x:v>
      </x:c>
      <x:c r="N43" t="str">
        <x:v>AKTIF</x:v>
      </x:c>
      <x:c r="O43" t="str"/>
      <x:c r="P43" t="str"/>
      <x:c r="Q43" t="str"/>
      <x:c r="R43" t="str"/>
      <x:c r="S43" t="str"/>
      <x:c r="T43" t="str"/>
      <x:c r="U43" s="18" t="n">
        <x:v>46134.041666666664</x:v>
      </x:c>
      <x:c r="V43" t="str">
        <x:v>INITIAL_IMPORT</x:v>
      </x:c>
    </x:row>
    <x:row r="44">
      <x:c r="A44" t="str">
        <x:v>PRD-JVS-0043</x:v>
      </x:c>
      <x:c r="B44" t="str">
        <x:v>JVS-0043</x:v>
      </x:c>
      <x:c r="C44" t="str">
        <x:v>Ban Dalam Ring 10</x:v>
      </x:c>
      <x:c r="D44" t="str">
        <x:v>Kaki-Kaki</x:v>
      </x:c>
      <x:c r="E44" t="str"/>
      <x:c r="F44" t="str"/>
      <x:c r="G44" s="12" t="n">
        <x:v>45</x:v>
      </x:c>
      <x:c r="H44" s="12" t="n">
        <x:v>45</x:v>
      </x:c>
      <x:c r="I44" s="12" t="n">
        <x:v>0</x:v>
      </x:c>
      <x:c r="J44" s="16" t="n">
        <x:v>0</x:v>
      </x:c>
      <x:c r="K44" s="14" t="n">
        <x:v>3</x:v>
      </x:c>
      <x:c r="L44" s="14" t="n">
        <x:v>1</x:v>
      </x:c>
      <x:c r="M44" t="str">
        <x:v>READY</x:v>
      </x:c>
      <x:c r="N44" t="str">
        <x:v>AKTIF</x:v>
      </x:c>
      <x:c r="O44" t="str"/>
      <x:c r="P44" t="str"/>
      <x:c r="Q44" t="str"/>
      <x:c r="R44" t="str"/>
      <x:c r="S44" t="str"/>
      <x:c r="T44" t="str"/>
      <x:c r="U44" s="18" t="n">
        <x:v>46134.041666666664</x:v>
      </x:c>
      <x:c r="V44" t="str">
        <x:v>INITIAL_IMPORT</x:v>
      </x:c>
    </x:row>
    <x:row r="45">
      <x:c r="A45" t="str">
        <x:v>PRD-JVS-0044</x:v>
      </x:c>
      <x:c r="B45" t="str">
        <x:v>JVS-0044</x:v>
      </x:c>
      <x:c r="C45" t="str">
        <x:v>Ban Dalam Ring 8</x:v>
      </x:c>
      <x:c r="D45" t="str">
        <x:v>Kaki-Kaki</x:v>
      </x:c>
      <x:c r="E45" t="str"/>
      <x:c r="F45" t="str"/>
      <x:c r="G45" s="12" t="n">
        <x:v>38</x:v>
      </x:c>
      <x:c r="H45" s="12" t="n">
        <x:v>38</x:v>
      </x:c>
      <x:c r="I45" s="12" t="n">
        <x:v>0</x:v>
      </x:c>
      <x:c r="J45" s="16" t="n">
        <x:v>0</x:v>
      </x:c>
      <x:c r="K45" s="14" t="n">
        <x:v>1</x:v>
      </x:c>
      <x:c r="L45" s="14" t="n">
        <x:v>1</x:v>
      </x:c>
      <x:c r="M45" t="str">
        <x:v>LOW</x:v>
      </x:c>
      <x:c r="N45" t="str">
        <x:v>AKTIF</x:v>
      </x:c>
      <x:c r="O45" t="str"/>
      <x:c r="P45" t="str"/>
      <x:c r="Q45" t="str"/>
      <x:c r="R45" t="str"/>
      <x:c r="S45" t="str"/>
      <x:c r="T45" t="str"/>
      <x:c r="U45" s="18" t="n">
        <x:v>46134.041666666664</x:v>
      </x:c>
      <x:c r="V45" t="str">
        <x:v>INITIAL_IMPORT</x:v>
      </x:c>
    </x:row>
    <x:row r="46">
      <x:c r="A46" t="str">
        <x:v>PRD-JVS-0045</x:v>
      </x:c>
      <x:c r="B46" t="str">
        <x:v>JVS-0045</x:v>
      </x:c>
      <x:c r="C46" t="str">
        <x:v>Ban Luar Ring 10 3.50 IRC</x:v>
      </x:c>
      <x:c r="D46" t="str">
        <x:v>Kaki-Kaki</x:v>
      </x:c>
      <x:c r="E46" t="str"/>
      <x:c r="F46" t="str"/>
      <x:c r="G46" s="12" t="n">
        <x:v>160</x:v>
      </x:c>
      <x:c r="H46" s="12" t="n">
        <x:v>160</x:v>
      </x:c>
      <x:c r="I46" s="12" t="n">
        <x:v>0</x:v>
      </x:c>
      <x:c r="J46" s="16" t="n">
        <x:v>0</x:v>
      </x:c>
      <x:c r="K46" s="14" t="n">
        <x:v>3</x:v>
      </x:c>
      <x:c r="L46" s="14" t="n">
        <x:v>1</x:v>
      </x:c>
      <x:c r="M46" t="str">
        <x:v>READY</x:v>
      </x:c>
      <x:c r="N46" t="str">
        <x:v>AKTIF</x:v>
      </x:c>
      <x:c r="O46" t="str"/>
      <x:c r="P46" t="str"/>
      <x:c r="Q46" t="str"/>
      <x:c r="R46" t="str"/>
      <x:c r="S46" t="str"/>
      <x:c r="T46" t="str"/>
      <x:c r="U46" s="18" t="n">
        <x:v>46134.041666666664</x:v>
      </x:c>
      <x:c r="V46" t="str">
        <x:v>INITIAL_IMPORT</x:v>
      </x:c>
    </x:row>
    <x:row r="47">
      <x:c r="A47" t="str">
        <x:v>PRD-JVS-0046</x:v>
      </x:c>
      <x:c r="B47" t="str">
        <x:v>JVS-0046</x:v>
      </x:c>
      <x:c r="C47" t="str">
        <x:v>Ban Luar Ring 8 10 3.50 IRC</x:v>
      </x:c>
      <x:c r="D47" t="str">
        <x:v>Kaki-Kaki</x:v>
      </x:c>
      <x:c r="E47" t="str"/>
      <x:c r="F47" t="str"/>
      <x:c r="G47" s="12" t="n">
        <x:v>140</x:v>
      </x:c>
      <x:c r="H47" s="12" t="n">
        <x:v>140</x:v>
      </x:c>
      <x:c r="I47" s="12" t="n">
        <x:v>0</x:v>
      </x:c>
      <x:c r="J47" s="16" t="n">
        <x:v>0</x:v>
      </x:c>
      <x:c r="K47" s="14" t="n">
        <x:v>1</x:v>
      </x:c>
      <x:c r="L47" s="14" t="n">
        <x:v>1</x:v>
      </x:c>
      <x:c r="M47" t="str">
        <x:v>LOW</x:v>
      </x:c>
      <x:c r="N47" t="str">
        <x:v>AKTIF</x:v>
      </x:c>
      <x:c r="O47" t="str"/>
      <x:c r="P47" t="str"/>
      <x:c r="Q47" t="str"/>
      <x:c r="R47" t="str"/>
      <x:c r="S47" t="str"/>
      <x:c r="T47" t="str"/>
      <x:c r="U47" s="18" t="n">
        <x:v>46134.041666666664</x:v>
      </x:c>
      <x:c r="V47" t="str">
        <x:v>INITIAL_IMPORT</x:v>
      </x:c>
    </x:row>
    <x:row r="48">
      <x:c r="A48" t="str">
        <x:v>PRD-JVS-0047</x:v>
      </x:c>
      <x:c r="B48" t="str">
        <x:v>JVS-0047</x:v>
      </x:c>
      <x:c r="C48" t="str">
        <x:v>Ban luar tubles maxxis</x:v>
      </x:c>
      <x:c r="D48" t="str">
        <x:v>Kaki-Kaki</x:v>
      </x:c>
      <x:c r="E48" t="str"/>
      <x:c r="F48" t="str"/>
      <x:c r="G48" s="12" t="n">
        <x:v>285</x:v>
      </x:c>
      <x:c r="H48" s="12" t="n">
        <x:v>285</x:v>
      </x:c>
      <x:c r="I48" s="12" t="n">
        <x:v>0</x:v>
      </x:c>
      <x:c r="J48" s="16" t="n">
        <x:v>0</x:v>
      </x:c>
      <x:c r="K48" s="14" t="n">
        <x:v>0</x:v>
      </x:c>
      <x:c r="L48" s="14" t="n">
        <x:v>1</x:v>
      </x:c>
      <x:c r="M48" t="str">
        <x:v>OUT OF STOCK</x:v>
      </x:c>
      <x:c r="N48" t="str">
        <x:v>AKTIF</x:v>
      </x:c>
      <x:c r="O48" t="str"/>
      <x:c r="P48" t="str"/>
      <x:c r="Q48" t="str"/>
      <x:c r="R48" t="str"/>
      <x:c r="S48" t="str"/>
      <x:c r="T48" t="str"/>
      <x:c r="U48" s="18" t="n">
        <x:v>46134.041666666664</x:v>
      </x:c>
      <x:c r="V48" t="str">
        <x:v>INITIAL_IMPORT</x:v>
      </x:c>
    </x:row>
    <x:row r="49">
      <x:c r="A49" t="str">
        <x:v>PRD-JVS-0048</x:v>
      </x:c>
      <x:c r="B49" t="str">
        <x:v>JVS-0048</x:v>
      </x:c>
      <x:c r="C49" t="str">
        <x:v>Batok Bawah Stang Vespa Excel Vifo</x:v>
      </x:c>
      <x:c r="D49" t="str">
        <x:v>Body</x:v>
      </x:c>
      <x:c r="E49" t="str">
        <x:v>EXCEL</x:v>
      </x:c>
      <x:c r="F49" t="str"/>
      <x:c r="G49" s="12" t="n">
        <x:v>128</x:v>
      </x:c>
      <x:c r="H49" s="12" t="n">
        <x:v>128</x:v>
      </x:c>
      <x:c r="I49" s="12" t="n">
        <x:v>0</x:v>
      </x:c>
      <x:c r="J49" s="16" t="n">
        <x:v>0</x:v>
      </x:c>
      <x:c r="K49" s="14" t="n">
        <x:v>1</x:v>
      </x:c>
      <x:c r="L49" s="14" t="n">
        <x:v>1</x:v>
      </x:c>
      <x:c r="M49" t="str">
        <x:v>LOW</x:v>
      </x:c>
      <x:c r="N49" t="str">
        <x:v>AKTIF</x:v>
      </x:c>
      <x:c r="O49" t="str"/>
      <x:c r="P49" t="str"/>
      <x:c r="Q49" t="str"/>
      <x:c r="R49" t="str"/>
      <x:c r="S49" t="str"/>
      <x:c r="T49" t="str"/>
      <x:c r="U49" s="18" t="n">
        <x:v>46134.041666666664</x:v>
      </x:c>
      <x:c r="V49" t="str">
        <x:v>INITIAL_IMPORT</x:v>
      </x:c>
    </x:row>
    <x:row r="50">
      <x:c r="A50" t="str">
        <x:v>PRD-JVS-0049</x:v>
      </x:c>
      <x:c r="B50" t="str">
        <x:v>JVS-0049</x:v>
      </x:c>
      <x:c r="C50" t="str">
        <x:v>Batok Cover/ Tutup Stang Vespa PX Bagian Atas/ Spedo Bulat</x:v>
      </x:c>
      <x:c r="D50" t="str">
        <x:v>Body</x:v>
      </x:c>
      <x:c r="E50" t="str">
        <x:v>PX</x:v>
      </x:c>
      <x:c r="F50" t="str"/>
      <x:c r="G50" s="12" t="n">
        <x:v>60</x:v>
      </x:c>
      <x:c r="H50" s="12" t="n">
        <x:v>60</x:v>
      </x:c>
      <x:c r="I50" s="12" t="n">
        <x:v>0</x:v>
      </x:c>
      <x:c r="J50" s="16" t="n">
        <x:v>0</x:v>
      </x:c>
      <x:c r="K50" s="14" t="n">
        <x:v>2</x:v>
      </x:c>
      <x:c r="L50" s="14" t="n">
        <x:v>1</x:v>
      </x:c>
      <x:c r="M50" t="str">
        <x:v>READY</x:v>
      </x:c>
      <x:c r="N50" t="str">
        <x:v>AKTIF</x:v>
      </x:c>
      <x:c r="O50" t="str"/>
      <x:c r="P50" t="str"/>
      <x:c r="Q50" t="str"/>
      <x:c r="R50" t="str"/>
      <x:c r="S50" t="str"/>
      <x:c r="T50" t="str"/>
      <x:c r="U50" s="18" t="n">
        <x:v>46134.041666666664</x:v>
      </x:c>
      <x:c r="V50" t="str">
        <x:v>INITIAL_IMPORT</x:v>
      </x:c>
    </x:row>
    <x:row r="51">
      <x:c r="A51" t="str">
        <x:v>PRD-JVS-0050</x:v>
      </x:c>
      <x:c r="B51" t="str">
        <x:v>JVS-0050</x:v>
      </x:c>
      <x:c r="C51" t="str">
        <x:v>Batok Tengah Vespa Excel Vifo</x:v>
      </x:c>
      <x:c r="D51" t="str">
        <x:v>Body</x:v>
      </x:c>
      <x:c r="E51" t="str">
        <x:v>EXCEL</x:v>
      </x:c>
      <x:c r="F51" t="str"/>
      <x:c r="G51" s="12" t="n">
        <x:v>120</x:v>
      </x:c>
      <x:c r="H51" s="12" t="n">
        <x:v>120</x:v>
      </x:c>
      <x:c r="I51" s="12" t="n">
        <x:v>0</x:v>
      </x:c>
      <x:c r="J51" s="16" t="n">
        <x:v>0</x:v>
      </x:c>
      <x:c r="K51" s="14" t="n">
        <x:v>1</x:v>
      </x:c>
      <x:c r="L51" s="14" t="n">
        <x:v>1</x:v>
      </x:c>
      <x:c r="M51" t="str">
        <x:v>LOW</x:v>
      </x:c>
      <x:c r="N51" t="str">
        <x:v>AKTIF</x:v>
      </x:c>
      <x:c r="O51" t="str"/>
      <x:c r="P51" t="str"/>
      <x:c r="Q51" t="str"/>
      <x:c r="R51" t="str"/>
      <x:c r="S51" t="str"/>
      <x:c r="T51" t="str"/>
      <x:c r="U51" s="18" t="n">
        <x:v>46134.041666666664</x:v>
      </x:c>
      <x:c r="V51" t="str">
        <x:v>INITIAL_IMPORT</x:v>
      </x:c>
    </x:row>
    <x:row r="52">
      <x:c r="A52" t="str">
        <x:v>PRD-JVS-0051</x:v>
      </x:c>
      <x:c r="B52" t="str">
        <x:v>JVS-0051</x:v>
      </x:c>
      <x:c r="C52" t="str">
        <x:v>Baut Apolo Kunci 11</x:v>
      </x:c>
      <x:c r="D52" t="str">
        <x:v>Servis</x:v>
      </x:c>
      <x:c r="E52" t="str"/>
      <x:c r="F52" t="str"/>
      <x:c r="G52" s="12" t="n">
        <x:v>17</x:v>
      </x:c>
      <x:c r="H52" s="12" t="n">
        <x:v>17</x:v>
      </x:c>
      <x:c r="I52" s="12" t="n">
        <x:v>0</x:v>
      </x:c>
      <x:c r="J52" s="16" t="n">
        <x:v>0</x:v>
      </x:c>
      <x:c r="K52" s="14" t="n">
        <x:v>8</x:v>
      </x:c>
      <x:c r="L52" s="14" t="n">
        <x:v>1</x:v>
      </x:c>
      <x:c r="M52" t="str">
        <x:v>READY</x:v>
      </x:c>
      <x:c r="N52" t="str">
        <x:v>AKTIF</x:v>
      </x:c>
      <x:c r="O52" t="str"/>
      <x:c r="P52" t="str"/>
      <x:c r="Q52" t="str"/>
      <x:c r="R52" t="str"/>
      <x:c r="S52" t="str"/>
      <x:c r="T52" t="str"/>
      <x:c r="U52" s="18" t="n">
        <x:v>46134.041666666664</x:v>
      </x:c>
      <x:c r="V52" t="str">
        <x:v>INITIAL_IMPORT</x:v>
      </x:c>
    </x:row>
    <x:row r="53">
      <x:c r="A53" t="str">
        <x:v>PRD-JVS-0052</x:v>
      </x:c>
      <x:c r="B53" t="str">
        <x:v>JVS-0052</x:v>
      </x:c>
      <x:c r="C53" t="str">
        <x:v>Baut Apolo Kunci 12</x:v>
      </x:c>
      <x:c r="D53" t="str">
        <x:v>Servis</x:v>
      </x:c>
      <x:c r="E53" t="str"/>
      <x:c r="F53" t="str"/>
      <x:c r="G53" s="12" t="n">
        <x:v>17.5</x:v>
      </x:c>
      <x:c r="H53" s="12" t="n">
        <x:v>17.5</x:v>
      </x:c>
      <x:c r="I53" s="12" t="n">
        <x:v>0</x:v>
      </x:c>
      <x:c r="J53" s="16" t="n">
        <x:v>0</x:v>
      </x:c>
      <x:c r="K53" s="14" t="n">
        <x:v>6</x:v>
      </x:c>
      <x:c r="L53" s="14" t="n">
        <x:v>1</x:v>
      </x:c>
      <x:c r="M53" t="str">
        <x:v>READY</x:v>
      </x:c>
      <x:c r="N53" t="str">
        <x:v>AKTIF</x:v>
      </x:c>
      <x:c r="O53" t="str"/>
      <x:c r="P53" t="str"/>
      <x:c r="Q53" t="str"/>
      <x:c r="R53" t="str"/>
      <x:c r="S53" t="str"/>
      <x:c r="T53" t="str"/>
      <x:c r="U53" s="18" t="n">
        <x:v>46134.041666666664</x:v>
      </x:c>
      <x:c r="V53" t="str">
        <x:v>INITIAL_IMPORT</x:v>
      </x:c>
    </x:row>
    <x:row r="54">
      <x:c r="A54" t="str">
        <x:v>PRD-JVS-0053</x:v>
      </x:c>
      <x:c r="B54" t="str">
        <x:v>JVS-0053</x:v>
      </x:c>
      <x:c r="C54" t="str">
        <x:v>Baut Deksel Panjang</x:v>
      </x:c>
      <x:c r="D54" t="str">
        <x:v>Servis</x:v>
      </x:c>
      <x:c r="E54" t="str"/>
      <x:c r="F54" t="str"/>
      <x:c r="G54" s="12" t="n">
        <x:v>4</x:v>
      </x:c>
      <x:c r="H54" s="12" t="n">
        <x:v>4</x:v>
      </x:c>
      <x:c r="I54" s="12" t="n">
        <x:v>0</x:v>
      </x:c>
      <x:c r="J54" s="16" t="n">
        <x:v>0</x:v>
      </x:c>
      <x:c r="K54" s="14" t="n">
        <x:v>9</x:v>
      </x:c>
      <x:c r="L54" s="14" t="n">
        <x:v>1</x:v>
      </x:c>
      <x:c r="M54" t="str">
        <x:v>READY</x:v>
      </x:c>
      <x:c r="N54" t="str">
        <x:v>AKTIF</x:v>
      </x:c>
      <x:c r="O54" t="str"/>
      <x:c r="P54" t="str"/>
      <x:c r="Q54" t="str"/>
      <x:c r="R54" t="str"/>
      <x:c r="S54" t="str"/>
      <x:c r="T54" t="str"/>
      <x:c r="U54" s="18" t="n">
        <x:v>46134.041666666664</x:v>
      </x:c>
      <x:c r="V54" t="str">
        <x:v>INITIAL_IMPORT</x:v>
      </x:c>
    </x:row>
    <x:row r="55">
      <x:c r="A55" t="str">
        <x:v>PRD-JVS-0054</x:v>
      </x:c>
      <x:c r="B55" t="str">
        <x:v>JVS-0054</x:v>
      </x:c>
      <x:c r="C55" t="str">
        <x:v>Baut Deksel Pendek</x:v>
      </x:c>
      <x:c r="D55" t="str">
        <x:v>Servis</x:v>
      </x:c>
      <x:c r="E55" t="str"/>
      <x:c r="F55" t="str"/>
      <x:c r="G55" s="12" t="str"/>
      <x:c r="H55" s="12" t="str"/>
      <x:c r="I55" s="12" t="str"/>
      <x:c r="J55" s="16" t="str"/>
      <x:c r="K55" s="14" t="n">
        <x:v>15</x:v>
      </x:c>
      <x:c r="L55" s="14" t="n">
        <x:v>1</x:v>
      </x:c>
      <x:c r="M55" t="str">
        <x:v>READY</x:v>
      </x:c>
      <x:c r="N55" t="str">
        <x:v>AKTIF</x:v>
      </x:c>
      <x:c r="O55" t="str"/>
      <x:c r="P55" t="str"/>
      <x:c r="Q55" t="str"/>
      <x:c r="R55" t="str"/>
      <x:c r="S55" t="str"/>
      <x:c r="T55" t="str"/>
      <x:c r="U55" s="18" t="n">
        <x:v>46134.041666666664</x:v>
      </x:c>
      <x:c r="V55" t="str">
        <x:v>INITIAL_IMPORT</x:v>
      </x:c>
    </x:row>
    <x:row r="56">
      <x:c r="A56" t="str">
        <x:v>PRD-JVS-0055</x:v>
      </x:c>
      <x:c r="B56" t="str">
        <x:v>JVS-0055</x:v>
      </x:c>
      <x:c r="C56" t="str">
        <x:v>Baut Handle Set Mur</x:v>
      </x:c>
      <x:c r="D56" t="str">
        <x:v>Body</x:v>
      </x:c>
      <x:c r="E56" t="str"/>
      <x:c r="F56" t="str"/>
      <x:c r="G56" s="12" t="n">
        <x:v>7</x:v>
      </x:c>
      <x:c r="H56" s="12" t="n">
        <x:v>7</x:v>
      </x:c>
      <x:c r="I56" s="12" t="n">
        <x:v>0</x:v>
      </x:c>
      <x:c r="J56" s="16" t="n">
        <x:v>0</x:v>
      </x:c>
      <x:c r="K56" s="14" t="n">
        <x:v>9</x:v>
      </x:c>
      <x:c r="L56" s="14" t="n">
        <x:v>1</x:v>
      </x:c>
      <x:c r="M56" t="str">
        <x:v>READY</x:v>
      </x:c>
      <x:c r="N56" t="str">
        <x:v>AKTIF</x:v>
      </x:c>
      <x:c r="O56" t="str"/>
      <x:c r="P56" t="str"/>
      <x:c r="Q56" t="str"/>
      <x:c r="R56" t="str"/>
      <x:c r="S56" t="str"/>
      <x:c r="T56" t="str"/>
      <x:c r="U56" s="18" t="n">
        <x:v>46134.041666666664</x:v>
      </x:c>
      <x:c r="V56" t="str">
        <x:v>INITIAL_IMPORT</x:v>
      </x:c>
    </x:row>
    <x:row r="57">
      <x:c r="A57" t="str">
        <x:v>PRD-JVS-0056</x:v>
      </x:c>
      <x:c r="B57" t="str">
        <x:v>JVS-0056</x:v>
      </x:c>
      <x:c r="C57" t="str">
        <x:v>Baut Handle Set Mur Min Kuningan</x:v>
      </x:c>
      <x:c r="D57" t="str">
        <x:v>Body</x:v>
      </x:c>
      <x:c r="E57" t="str"/>
      <x:c r="F57" t="str"/>
      <x:c r="G57" s="12" t="n">
        <x:v>10</x:v>
      </x:c>
      <x:c r="H57" s="12" t="n">
        <x:v>10</x:v>
      </x:c>
      <x:c r="I57" s="12" t="n">
        <x:v>0</x:v>
      </x:c>
      <x:c r="J57" s="16" t="n">
        <x:v>0</x:v>
      </x:c>
      <x:c r="K57" s="14" t="n">
        <x:v>6</x:v>
      </x:c>
      <x:c r="L57" s="14" t="n">
        <x:v>1</x:v>
      </x:c>
      <x:c r="M57" t="str">
        <x:v>READY</x:v>
      </x:c>
      <x:c r="N57" t="str">
        <x:v>AKTIF</x:v>
      </x:c>
      <x:c r="O57" t="str"/>
      <x:c r="P57" t="str"/>
      <x:c r="Q57" t="str"/>
      <x:c r="R57" t="str"/>
      <x:c r="S57" t="str"/>
      <x:c r="T57" t="str"/>
      <x:c r="U57" s="18" t="n">
        <x:v>46134.041666666664</x:v>
      </x:c>
      <x:c r="V57" t="str">
        <x:v>INITIAL_IMPORT</x:v>
      </x:c>
    </x:row>
    <x:row r="58">
      <x:c r="A58" t="str">
        <x:v>PRD-JVS-0057</x:v>
      </x:c>
      <x:c r="B58" t="str">
        <x:v>JVS-0057</x:v>
      </x:c>
      <x:c r="C58" t="str">
        <x:v>Baut Hawa Mesin Nepel Angin Tutup Kopling</x:v>
      </x:c>
      <x:c r="D58" t="str">
        <x:v>Mesin</x:v>
      </x:c>
      <x:c r="E58" t="str"/>
      <x:c r="F58" t="str"/>
      <x:c r="G58" s="12" t="n">
        <x:v>12</x:v>
      </x:c>
      <x:c r="H58" s="12" t="n">
        <x:v>12</x:v>
      </x:c>
      <x:c r="I58" s="12" t="n">
        <x:v>0</x:v>
      </x:c>
      <x:c r="J58" s="16" t="n">
        <x:v>0</x:v>
      </x:c>
      <x:c r="K58" s="14" t="n">
        <x:v>3</x:v>
      </x:c>
      <x:c r="L58" s="14" t="n">
        <x:v>1</x:v>
      </x:c>
      <x:c r="M58" t="str">
        <x:v>READY</x:v>
      </x:c>
      <x:c r="N58" t="str">
        <x:v>AKTIF</x:v>
      </x:c>
      <x:c r="O58" t="str"/>
      <x:c r="P58" t="str"/>
      <x:c r="Q58" t="str"/>
      <x:c r="R58" t="str"/>
      <x:c r="S58" t="str"/>
      <x:c r="T58" t="str"/>
      <x:c r="U58" s="18" t="n">
        <x:v>46134.041666666664</x:v>
      </x:c>
      <x:c r="V58" t="str">
        <x:v>INITIAL_IMPORT</x:v>
      </x:c>
    </x:row>
    <x:row r="59">
      <x:c r="A59" t="str">
        <x:v>PRD-JVS-0058</x:v>
      </x:c>
      <x:c r="B59" t="str">
        <x:v>JVS-0058</x:v>
      </x:c>
      <x:c r="C59" t="str">
        <x:v>Baut Karburator Vespa Excel</x:v>
      </x:c>
      <x:c r="D59" t="str">
        <x:v>Mesin</x:v>
      </x:c>
      <x:c r="E59" t="str">
        <x:v>EXCEL</x:v>
      </x:c>
      <x:c r="F59" t="str"/>
      <x:c r="G59" s="12" t="str"/>
      <x:c r="H59" s="12" t="str"/>
      <x:c r="I59" s="12" t="str"/>
      <x:c r="J59" s="16" t="str"/>
      <x:c r="K59" s="14" t="n">
        <x:v>1</x:v>
      </x:c>
      <x:c r="L59" s="14" t="n">
        <x:v>1</x:v>
      </x:c>
      <x:c r="M59" t="str">
        <x:v>LOW</x:v>
      </x:c>
      <x:c r="N59" t="str">
        <x:v>AKTIF</x:v>
      </x:c>
      <x:c r="O59" t="str"/>
      <x:c r="P59" t="str"/>
      <x:c r="Q59" t="str"/>
      <x:c r="R59" t="str"/>
      <x:c r="S59" t="str"/>
      <x:c r="T59" t="str"/>
      <x:c r="U59" s="18" t="n">
        <x:v>46134.041666666664</x:v>
      </x:c>
      <x:c r="V59" t="str">
        <x:v>INITIAL_IMPORT</x:v>
      </x:c>
    </x:row>
    <x:row r="60">
      <x:c r="A60" t="str">
        <x:v>PRD-JVS-0059</x:v>
      </x:c>
      <x:c r="B60" t="str">
        <x:v>JVS-0059</x:v>
      </x:c>
      <x:c r="C60" t="str">
        <x:v>Baut Klip Klakson Vespa Super Sprint VBB</x:v>
      </x:c>
      <x:c r="D60" t="str">
        <x:v>Servis</x:v>
      </x:c>
      <x:c r="E60" t="str">
        <x:v>SUPER, SPRINT, VBB</x:v>
      </x:c>
      <x:c r="F60" t="str"/>
      <x:c r="G60" s="12" t="n">
        <x:v>5</x:v>
      </x:c>
      <x:c r="H60" s="12" t="n">
        <x:v>5</x:v>
      </x:c>
      <x:c r="I60" s="12" t="n">
        <x:v>0</x:v>
      </x:c>
      <x:c r="J60" s="16" t="n">
        <x:v>0</x:v>
      </x:c>
      <x:c r="K60" s="14" t="n">
        <x:v>0</x:v>
      </x:c>
      <x:c r="L60" s="14" t="n">
        <x:v>1</x:v>
      </x:c>
      <x:c r="M60" t="str">
        <x:v>OUT OF STOCK</x:v>
      </x:c>
      <x:c r="N60" t="str">
        <x:v>AKTIF</x:v>
      </x:c>
      <x:c r="O60" t="str"/>
      <x:c r="P60" t="str"/>
      <x:c r="Q60" t="str"/>
      <x:c r="R60" t="str"/>
      <x:c r="S60" t="str"/>
      <x:c r="T60" t="str"/>
      <x:c r="U60" s="18" t="n">
        <x:v>46134.041666666664</x:v>
      </x:c>
      <x:c r="V60" t="str">
        <x:v>INITIAL_IMPORT</x:v>
      </x:c>
    </x:row>
    <x:row r="61">
      <x:c r="A61" t="str">
        <x:v>PRD-JVS-0060</x:v>
      </x:c>
      <x:c r="B61" t="str">
        <x:v>JVS-0060</x:v>
      </x:c>
      <x:c r="C61" t="str">
        <x:v>Baut Knalpot Biasa Kunci 17</x:v>
      </x:c>
      <x:c r="D61" t="str">
        <x:v>Servis</x:v>
      </x:c>
      <x:c r="E61" t="str"/>
      <x:c r="F61" t="str"/>
      <x:c r="G61" s="12" t="n">
        <x:v>8</x:v>
      </x:c>
      <x:c r="H61" s="12" t="n">
        <x:v>8</x:v>
      </x:c>
      <x:c r="I61" s="12" t="n">
        <x:v>0</x:v>
      </x:c>
      <x:c r="J61" s="16" t="n">
        <x:v>0</x:v>
      </x:c>
      <x:c r="K61" s="14" t="n">
        <x:v>0</x:v>
      </x:c>
      <x:c r="L61" s="14" t="n">
        <x:v>1</x:v>
      </x:c>
      <x:c r="M61" t="str">
        <x:v>OUT OF STOCK</x:v>
      </x:c>
      <x:c r="N61" t="str">
        <x:v>AKTIF</x:v>
      </x:c>
      <x:c r="O61" t="str"/>
      <x:c r="P61" t="str"/>
      <x:c r="Q61" t="str"/>
      <x:c r="R61" t="str"/>
      <x:c r="S61" t="str"/>
      <x:c r="T61" t="str"/>
      <x:c r="U61" s="18" t="n">
        <x:v>46134.041666666664</x:v>
      </x:c>
      <x:c r="V61" t="str">
        <x:v>INITIAL_IMPORT</x:v>
      </x:c>
    </x:row>
    <x:row r="62">
      <x:c r="A62" t="str">
        <x:v>PRD-JVS-0061</x:v>
      </x:c>
      <x:c r="B62" t="str">
        <x:v>JVS-0061</x:v>
      </x:c>
      <x:c r="C62" t="str">
        <x:v>Baut Min Filter Karburator Bagian belakang</x:v>
      </x:c>
      <x:c r="D62" t="str">
        <x:v>Mesin</x:v>
      </x:c>
      <x:c r="E62" t="str"/>
      <x:c r="F62" t="str"/>
      <x:c r="G62" s="12" t="n">
        <x:v>8</x:v>
      </x:c>
      <x:c r="H62" s="12" t="n">
        <x:v>8</x:v>
      </x:c>
      <x:c r="I62" s="12" t="n">
        <x:v>0</x:v>
      </x:c>
      <x:c r="J62" s="16" t="n">
        <x:v>0</x:v>
      </x:c>
      <x:c r="K62" s="14" t="n">
        <x:v>4</x:v>
      </x:c>
      <x:c r="L62" s="14" t="n">
        <x:v>1</x:v>
      </x:c>
      <x:c r="M62" t="str">
        <x:v>READY</x:v>
      </x:c>
      <x:c r="N62" t="str">
        <x:v>AKTIF</x:v>
      </x:c>
      <x:c r="O62" t="str"/>
      <x:c r="P62" t="str"/>
      <x:c r="Q62" t="str"/>
      <x:c r="R62" t="str"/>
      <x:c r="S62" t="str"/>
      <x:c r="T62" t="str"/>
      <x:c r="U62" s="18" t="n">
        <x:v>46134.041666666664</x:v>
      </x:c>
      <x:c r="V62" t="str">
        <x:v>INITIAL_IMPORT</x:v>
      </x:c>
    </x:row>
    <x:row r="63">
      <x:c r="A63" t="str">
        <x:v>PRD-JVS-0062</x:v>
      </x:c>
      <x:c r="B63" t="str">
        <x:v>JVS-0062</x:v>
      </x:c>
      <x:c r="C63" t="str">
        <x:v>Baut Min Filter Karburator model silinder bagian depan Vespa</x:v>
      </x:c>
      <x:c r="D63" t="str">
        <x:v>Mesin</x:v>
      </x:c>
      <x:c r="E63" t="str"/>
      <x:c r="F63" t="str"/>
      <x:c r="G63" s="12" t="n">
        <x:v>8</x:v>
      </x:c>
      <x:c r="H63" s="12" t="n">
        <x:v>8</x:v>
      </x:c>
      <x:c r="I63" s="12" t="n">
        <x:v>0</x:v>
      </x:c>
      <x:c r="J63" s="16" t="n">
        <x:v>0</x:v>
      </x:c>
      <x:c r="K63" s="14" t="n">
        <x:v>7</x:v>
      </x:c>
      <x:c r="L63" s="14" t="n">
        <x:v>1</x:v>
      </x:c>
      <x:c r="M63" t="str">
        <x:v>READY</x:v>
      </x:c>
      <x:c r="N63" t="str">
        <x:v>AKTIF</x:v>
      </x:c>
      <x:c r="O63" t="str"/>
      <x:c r="P63" t="str"/>
      <x:c r="Q63" t="str"/>
      <x:c r="R63" t="str"/>
      <x:c r="S63" t="str"/>
      <x:c r="T63" t="str"/>
      <x:c r="U63" s="18" t="n">
        <x:v>46134.041666666664</x:v>
      </x:c>
      <x:c r="V63" t="str">
        <x:v>INITIAL_IMPORT</x:v>
      </x:c>
    </x:row>
    <x:row r="64">
      <x:c r="A64" t="str">
        <x:v>PRD-JVS-0063</x:v>
      </x:c>
      <x:c r="B64" t="str">
        <x:v>JVS-0063</x:v>
      </x:c>
      <x:c r="C64" t="str">
        <x:v>Baut Min Jog Vespa PX PS Kunci 12</x:v>
      </x:c>
      <x:c r="D64" t="str">
        <x:v>Servis</x:v>
      </x:c>
      <x:c r="E64" t="str">
        <x:v>PX, PS</x:v>
      </x:c>
      <x:c r="F64" t="str"/>
      <x:c r="G64" s="12" t="str"/>
      <x:c r="H64" s="12" t="str"/>
      <x:c r="I64" s="12" t="str"/>
      <x:c r="J64" s="16" t="str"/>
      <x:c r="K64" s="14" t="n">
        <x:v>24</x:v>
      </x:c>
      <x:c r="L64" s="14" t="n">
        <x:v>1</x:v>
      </x:c>
      <x:c r="M64" t="str">
        <x:v>READY</x:v>
      </x:c>
      <x:c r="N64" t="str">
        <x:v>AKTIF</x:v>
      </x:c>
      <x:c r="O64" t="str"/>
      <x:c r="P64" t="str"/>
      <x:c r="Q64" t="str"/>
      <x:c r="R64" t="str"/>
      <x:c r="S64" t="str"/>
      <x:c r="T64" t="str"/>
      <x:c r="U64" s="18" t="n">
        <x:v>46134.041666666664</x:v>
      </x:c>
      <x:c r="V64" t="str">
        <x:v>INITIAL_IMPORT</x:v>
      </x:c>
    </x:row>
    <x:row r="65">
      <x:c r="A65" t="str">
        <x:v>PRD-JVS-0064</x:v>
      </x:c>
      <x:c r="B65" t="str">
        <x:v>JVS-0064</x:v>
      </x:c>
      <x:c r="C65" t="str">
        <x:v>Baut Min Jok Vespa Super M7 Drat 11</x:v>
      </x:c>
      <x:c r="D65" t="str">
        <x:v>Body</x:v>
      </x:c>
      <x:c r="E65" t="str">
        <x:v>SUPER</x:v>
      </x:c>
      <x:c r="F65" t="str"/>
      <x:c r="G65" s="12" t="n">
        <x:v>6</x:v>
      </x:c>
      <x:c r="H65" s="12" t="n">
        <x:v>6</x:v>
      </x:c>
      <x:c r="I65" s="12" t="n">
        <x:v>0</x:v>
      </x:c>
      <x:c r="J65" s="16" t="n">
        <x:v>0</x:v>
      </x:c>
      <x:c r="K65" s="14" t="n">
        <x:v>5</x:v>
      </x:c>
      <x:c r="L65" s="14" t="n">
        <x:v>1</x:v>
      </x:c>
      <x:c r="M65" t="str">
        <x:v>READY</x:v>
      </x:c>
      <x:c r="N65" t="str">
        <x:v>AKTIF</x:v>
      </x:c>
      <x:c r="O65" t="str"/>
      <x:c r="P65" t="str"/>
      <x:c r="Q65" t="str"/>
      <x:c r="R65" t="str"/>
      <x:c r="S65" t="str"/>
      <x:c r="T65" t="str"/>
      <x:c r="U65" s="18" t="n">
        <x:v>46134.041666666664</x:v>
      </x:c>
      <x:c r="V65" t="str">
        <x:v>INITIAL_IMPORT</x:v>
      </x:c>
    </x:row>
    <x:row r="66">
      <x:c r="A66" t="str">
        <x:v>PRD-JVS-0065</x:v>
      </x:c>
      <x:c r="B66" t="str">
        <x:v>JVS-0065</x:v>
      </x:c>
      <x:c r="C66" t="str">
        <x:v>Baut Min set mur Spakbor Vespa</x:v>
      </x:c>
      <x:c r="D66" t="str">
        <x:v>Body</x:v>
      </x:c>
      <x:c r="E66" t="str"/>
      <x:c r="F66" t="str"/>
      <x:c r="G66" s="12" t="str"/>
      <x:c r="H66" s="12" t="str"/>
      <x:c r="I66" s="12" t="str"/>
      <x:c r="J66" s="16" t="str"/>
      <x:c r="K66" s="14" t="n">
        <x:v>6</x:v>
      </x:c>
      <x:c r="L66" s="14" t="n">
        <x:v>1</x:v>
      </x:c>
      <x:c r="M66" t="str">
        <x:v>READY</x:v>
      </x:c>
      <x:c r="N66" t="str">
        <x:v>AKTIF</x:v>
      </x:c>
      <x:c r="O66" t="str"/>
      <x:c r="P66" t="str"/>
      <x:c r="Q66" t="str"/>
      <x:c r="R66" t="str"/>
      <x:c r="S66" t="str"/>
      <x:c r="T66" t="str"/>
      <x:c r="U66" s="18" t="n">
        <x:v>46134.041666666664</x:v>
      </x:c>
      <x:c r="V66" t="str">
        <x:v>INITIAL_IMPORT</x:v>
      </x:c>
    </x:row>
    <x:row r="67">
      <x:c r="A67" t="str">
        <x:v>PRD-JVS-0066</x:v>
      </x:c>
      <x:c r="B67" t="str">
        <x:v>JVS-0066</x:v>
      </x:c>
      <x:c r="C67" t="str">
        <x:v>Baut Mur Kitiran Tutup Tangki Vespa</x:v>
      </x:c>
      <x:c r="D67" t="str">
        <x:v>Servis</x:v>
      </x:c>
      <x:c r="E67" t="str"/>
      <x:c r="F67" t="str"/>
      <x:c r="G67" s="12" t="n">
        <x:v>12</x:v>
      </x:c>
      <x:c r="H67" s="12" t="n">
        <x:v>12</x:v>
      </x:c>
      <x:c r="I67" s="12" t="n">
        <x:v>0</x:v>
      </x:c>
      <x:c r="J67" s="16" t="n">
        <x:v>0</x:v>
      </x:c>
      <x:c r="K67" s="14" t="n">
        <x:v>5</x:v>
      </x:c>
      <x:c r="L67" s="14" t="n">
        <x:v>1</x:v>
      </x:c>
      <x:c r="M67" t="str">
        <x:v>READY</x:v>
      </x:c>
      <x:c r="N67" t="str">
        <x:v>AKTIF</x:v>
      </x:c>
      <x:c r="O67" t="str"/>
      <x:c r="P67" t="str"/>
      <x:c r="Q67" t="str"/>
      <x:c r="R67" t="str"/>
      <x:c r="S67" t="str"/>
      <x:c r="T67" t="str"/>
      <x:c r="U67" s="18" t="n">
        <x:v>46134.041666666664</x:v>
      </x:c>
      <x:c r="V67" t="str">
        <x:v>INITIAL_IMPORT</x:v>
      </x:c>
    </x:row>
    <x:row r="68">
      <x:c r="A68" t="str">
        <x:v>PRD-JVS-0067</x:v>
      </x:c>
      <x:c r="B68" t="str">
        <x:v>JVS-0067</x:v>
      </x:c>
      <x:c r="C68" t="str">
        <x:v>Baut Mur Set Standar Tengah Vespa Kunci 10</x:v>
      </x:c>
      <x:c r="D68" t="str">
        <x:v>Kaki-Kaki</x:v>
      </x:c>
      <x:c r="E68" t="str"/>
      <x:c r="F68" t="str"/>
      <x:c r="G68" s="12" t="n">
        <x:v>8</x:v>
      </x:c>
      <x:c r="H68" s="12" t="n">
        <x:v>8</x:v>
      </x:c>
      <x:c r="I68" s="12" t="n">
        <x:v>0</x:v>
      </x:c>
      <x:c r="J68" s="16" t="n">
        <x:v>0</x:v>
      </x:c>
      <x:c r="K68" s="14" t="n">
        <x:v>10</x:v>
      </x:c>
      <x:c r="L68" s="14" t="n">
        <x:v>1</x:v>
      </x:c>
      <x:c r="M68" t="str">
        <x:v>READY</x:v>
      </x:c>
      <x:c r="N68" t="str">
        <x:v>AKTIF</x:v>
      </x:c>
      <x:c r="O68" t="str"/>
      <x:c r="P68" t="str"/>
      <x:c r="Q68" t="str"/>
      <x:c r="R68" t="str"/>
      <x:c r="S68" t="str"/>
      <x:c r="T68" t="str"/>
      <x:c r="U68" s="18" t="n">
        <x:v>46134.041666666664</x:v>
      </x:c>
      <x:c r="V68" t="str">
        <x:v>INITIAL_IMPORT</x:v>
      </x:c>
    </x:row>
    <x:row r="69">
      <x:c r="A69" t="str">
        <x:v>PRD-JVS-0068</x:v>
      </x:c>
      <x:c r="B69" t="str">
        <x:v>JVS-0068</x:v>
      </x:c>
      <x:c r="C69" t="str">
        <x:v>Baut Peninggi Shock Belakang Panjang 5cm</x:v>
      </x:c>
      <x:c r="D69" t="str">
        <x:v>Kaki-Kaki</x:v>
      </x:c>
      <x:c r="E69" t="str"/>
      <x:c r="F69" t="str"/>
      <x:c r="G69" s="12" t="n">
        <x:v>15</x:v>
      </x:c>
      <x:c r="H69" s="12" t="n">
        <x:v>15</x:v>
      </x:c>
      <x:c r="I69" s="12" t="n">
        <x:v>0</x:v>
      </x:c>
      <x:c r="J69" s="16" t="n">
        <x:v>0</x:v>
      </x:c>
      <x:c r="K69" s="14" t="n">
        <x:v>9</x:v>
      </x:c>
      <x:c r="L69" s="14" t="n">
        <x:v>1</x:v>
      </x:c>
      <x:c r="M69" t="str">
        <x:v>READY</x:v>
      </x:c>
      <x:c r="N69" t="str">
        <x:v>AKTIF</x:v>
      </x:c>
      <x:c r="O69" t="str"/>
      <x:c r="P69" t="str"/>
      <x:c r="Q69" t="str"/>
      <x:c r="R69" t="str"/>
      <x:c r="S69" t="str"/>
      <x:c r="T69" t="str"/>
      <x:c r="U69" s="18" t="n">
        <x:v>46134.041666666664</x:v>
      </x:c>
      <x:c r="V69" t="str">
        <x:v>INITIAL_IMPORT</x:v>
      </x:c>
    </x:row>
    <x:row r="70">
      <x:c r="A70" t="str">
        <x:v>PRD-JVS-0069</x:v>
      </x:c>
      <x:c r="B70" t="str">
        <x:v>JVS-0069</x:v>
      </x:c>
      <x:c r="C70" t="str">
        <x:v>Baut Peninggi Shock Belakang Pendek 2,5cm</x:v>
      </x:c>
      <x:c r="D70" t="str">
        <x:v>Kaki-Kaki</x:v>
      </x:c>
      <x:c r="E70" t="str"/>
      <x:c r="F70" t="str"/>
      <x:c r="G70" s="12" t="n">
        <x:v>15</x:v>
      </x:c>
      <x:c r="H70" s="12" t="n">
        <x:v>15</x:v>
      </x:c>
      <x:c r="I70" s="12" t="n">
        <x:v>0</x:v>
      </x:c>
      <x:c r="J70" s="16" t="n">
        <x:v>0</x:v>
      </x:c>
      <x:c r="K70" s="14" t="n">
        <x:v>4</x:v>
      </x:c>
      <x:c r="L70" s="14" t="n">
        <x:v>1</x:v>
      </x:c>
      <x:c r="M70" t="str">
        <x:v>READY</x:v>
      </x:c>
      <x:c r="N70" t="str">
        <x:v>AKTIF</x:v>
      </x:c>
      <x:c r="O70" t="str"/>
      <x:c r="P70" t="str"/>
      <x:c r="Q70" t="str"/>
      <x:c r="R70" t="str"/>
      <x:c r="S70" t="str"/>
      <x:c r="T70" t="str"/>
      <x:c r="U70" s="18" t="n">
        <x:v>46134.041666666664</x:v>
      </x:c>
      <x:c r="V70" t="str">
        <x:v>INITIAL_IMPORT</x:v>
      </x:c>
    </x:row>
    <x:row r="71">
      <x:c r="A71" t="str">
        <x:v>PRD-JVS-0070</x:v>
      </x:c>
      <x:c r="B71" t="str">
        <x:v>JVS-0070</x:v>
      </x:c>
      <x:c r="C71" t="str">
        <x:v>Baut Peninggi Shock Belakang Sedang 4cm</x:v>
      </x:c>
      <x:c r="D71" t="str">
        <x:v>Kaki-Kaki</x:v>
      </x:c>
      <x:c r="E71" t="str"/>
      <x:c r="F71" t="str"/>
      <x:c r="G71" s="12" t="n">
        <x:v>10</x:v>
      </x:c>
      <x:c r="H71" s="12" t="n">
        <x:v>10</x:v>
      </x:c>
      <x:c r="I71" s="12" t="n">
        <x:v>0</x:v>
      </x:c>
      <x:c r="J71" s="16" t="n">
        <x:v>0</x:v>
      </x:c>
      <x:c r="K71" s="14" t="n">
        <x:v>0</x:v>
      </x:c>
      <x:c r="L71" s="14" t="n">
        <x:v>1</x:v>
      </x:c>
      <x:c r="M71" t="str">
        <x:v>OUT OF STOCK</x:v>
      </x:c>
      <x:c r="N71" t="str">
        <x:v>AKTIF</x:v>
      </x:c>
      <x:c r="O71" t="str"/>
      <x:c r="P71" t="str"/>
      <x:c r="Q71" t="str"/>
      <x:c r="R71" t="str"/>
      <x:c r="S71" t="str"/>
      <x:c r="T71" t="str"/>
      <x:c r="U71" s="18" t="n">
        <x:v>46134.041666666664</x:v>
      </x:c>
      <x:c r="V71" t="str">
        <x:v>INITIAL_IMPORT</x:v>
      </x:c>
    </x:row>
    <x:row r="72">
      <x:c r="A72" t="str">
        <x:v>PRD-JVS-0071</x:v>
      </x:c>
      <x:c r="B72" t="str">
        <x:v>JVS-0071</x:v>
      </x:c>
      <x:c r="C72" t="str">
        <x:v>Baut Platina</x:v>
      </x:c>
      <x:c r="D72" t="str">
        <x:v>Kelistrikan</x:v>
      </x:c>
      <x:c r="E72" t="str"/>
      <x:c r="F72" t="str"/>
      <x:c r="G72" s="12" t="str"/>
      <x:c r="H72" s="12" t="str"/>
      <x:c r="I72" s="12" t="str"/>
      <x:c r="J72" s="16" t="str"/>
      <x:c r="K72" s="14" t="n">
        <x:v>2</x:v>
      </x:c>
      <x:c r="L72" s="14" t="n">
        <x:v>1</x:v>
      </x:c>
      <x:c r="M72" t="str">
        <x:v>READY</x:v>
      </x:c>
      <x:c r="N72" t="str">
        <x:v>AKTIF</x:v>
      </x:c>
      <x:c r="O72" t="str"/>
      <x:c r="P72" t="str"/>
      <x:c r="Q72" t="str"/>
      <x:c r="R72" t="str"/>
      <x:c r="S72" t="str"/>
      <x:c r="T72" t="str"/>
      <x:c r="U72" s="18" t="n">
        <x:v>46134.041666666664</x:v>
      </x:c>
      <x:c r="V72" t="str">
        <x:v>INITIAL_IMPORT</x:v>
      </x:c>
    </x:row>
    <x:row r="73">
      <x:c r="A73" t="str">
        <x:v>PRD-JVS-0072</x:v>
      </x:c>
      <x:c r="B73" t="str">
        <x:v>JVS-0072</x:v>
      </x:c>
      <x:c r="C73" t="str">
        <x:v>Baut Rengkes Panjang</x:v>
      </x:c>
      <x:c r="D73" t="str">
        <x:v>Servis</x:v>
      </x:c>
      <x:c r="E73" t="str"/>
      <x:c r="F73" t="str"/>
      <x:c r="G73" s="12" t="n">
        <x:v>7.5</x:v>
      </x:c>
      <x:c r="H73" s="12" t="n">
        <x:v>7.5</x:v>
      </x:c>
      <x:c r="I73" s="12" t="n">
        <x:v>0</x:v>
      </x:c>
      <x:c r="J73" s="16" t="n">
        <x:v>0</x:v>
      </x:c>
      <x:c r="K73" s="14" t="n">
        <x:v>5</x:v>
      </x:c>
      <x:c r="L73" s="14" t="n">
        <x:v>1</x:v>
      </x:c>
      <x:c r="M73" t="str">
        <x:v>READY</x:v>
      </x:c>
      <x:c r="N73" t="str">
        <x:v>AKTIF</x:v>
      </x:c>
      <x:c r="O73" t="str"/>
      <x:c r="P73" t="str"/>
      <x:c r="Q73" t="str"/>
      <x:c r="R73" t="str"/>
      <x:c r="S73" t="str"/>
      <x:c r="T73" t="str"/>
      <x:c r="U73" s="18" t="n">
        <x:v>46134.041666666664</x:v>
      </x:c>
      <x:c r="V73" t="str">
        <x:v>INITIAL_IMPORT</x:v>
      </x:c>
    </x:row>
    <x:row r="74">
      <x:c r="A74" t="str">
        <x:v>PRD-JVS-0073</x:v>
      </x:c>
      <x:c r="B74" t="str">
        <x:v>JVS-0073</x:v>
      </x:c>
      <x:c r="C74" t="str">
        <x:v>Baut Rengkes Pendek</x:v>
      </x:c>
      <x:c r="D74" t="str">
        <x:v>Servis</x:v>
      </x:c>
      <x:c r="E74" t="str"/>
      <x:c r="F74" t="str"/>
      <x:c r="G74" s="12" t="n">
        <x:v>7</x:v>
      </x:c>
      <x:c r="H74" s="12" t="n">
        <x:v>7</x:v>
      </x:c>
      <x:c r="I74" s="12" t="n">
        <x:v>0</x:v>
      </x:c>
      <x:c r="J74" s="16" t="n">
        <x:v>0</x:v>
      </x:c>
      <x:c r="K74" s="14" t="n">
        <x:v>14</x:v>
      </x:c>
      <x:c r="L74" s="14" t="n">
        <x:v>1</x:v>
      </x:c>
      <x:c r="M74" t="str">
        <x:v>READY</x:v>
      </x:c>
      <x:c r="N74" t="str">
        <x:v>AKTIF</x:v>
      </x:c>
      <x:c r="O74" t="str"/>
      <x:c r="P74" t="str"/>
      <x:c r="Q74" t="str"/>
      <x:c r="R74" t="str"/>
      <x:c r="S74" t="str"/>
      <x:c r="T74" t="str"/>
      <x:c r="U74" s="18" t="n">
        <x:v>46134.041666666664</x:v>
      </x:c>
      <x:c r="V74" t="str">
        <x:v>INITIAL_IMPORT</x:v>
      </x:c>
    </x:row>
    <x:row r="75">
      <x:c r="A75" t="str">
        <x:v>PRD-JVS-0074</x:v>
      </x:c>
      <x:c r="B75" t="str">
        <x:v>JVS-0074</x:v>
      </x:c>
      <x:c r="C75" t="str">
        <x:v>Baut Selah</x:v>
      </x:c>
      <x:c r="D75" t="str">
        <x:v>Mesin</x:v>
      </x:c>
      <x:c r="E75" t="str"/>
      <x:c r="F75" t="str"/>
      <x:c r="G75" s="12" t="n">
        <x:v>8</x:v>
      </x:c>
      <x:c r="H75" s="12" t="n">
        <x:v>8</x:v>
      </x:c>
      <x:c r="I75" s="12" t="n">
        <x:v>0</x:v>
      </x:c>
      <x:c r="J75" s="16" t="n">
        <x:v>0</x:v>
      </x:c>
      <x:c r="K75" s="14" t="n">
        <x:v>4</x:v>
      </x:c>
      <x:c r="L75" s="14" t="n">
        <x:v>1</x:v>
      </x:c>
      <x:c r="M75" t="str">
        <x:v>READY</x:v>
      </x:c>
      <x:c r="N75" t="str">
        <x:v>AKTIF</x:v>
      </x:c>
      <x:c r="O75" t="str"/>
      <x:c r="P75" t="str"/>
      <x:c r="Q75" t="str"/>
      <x:c r="R75" t="str"/>
      <x:c r="S75" t="str"/>
      <x:c r="T75" t="str"/>
      <x:c r="U75" s="18" t="n">
        <x:v>46134.041666666664</x:v>
      </x:c>
      <x:c r="V75" t="str">
        <x:v>INITIAL_IMPORT</x:v>
      </x:c>
    </x:row>
    <x:row r="76">
      <x:c r="A76" t="str">
        <x:v>PRD-JVS-0075</x:v>
      </x:c>
      <x:c r="B76" t="str">
        <x:v>JVS-0075</x:v>
      </x:c>
      <x:c r="C76" t="str">
        <x:v>Baut Setelan angin karburator model Excel</x:v>
      </x:c>
      <x:c r="D76" t="str">
        <x:v>Mesin</x:v>
      </x:c>
      <x:c r="E76" t="str">
        <x:v>EXCEL</x:v>
      </x:c>
      <x:c r="F76" t="str"/>
      <x:c r="G76" s="12" t="n">
        <x:v>20</x:v>
      </x:c>
      <x:c r="H76" s="12" t="n">
        <x:v>20</x:v>
      </x:c>
      <x:c r="I76" s="12" t="n">
        <x:v>0</x:v>
      </x:c>
      <x:c r="J76" s="16" t="n">
        <x:v>0</x:v>
      </x:c>
      <x:c r="K76" s="14" t="n">
        <x:v>4</x:v>
      </x:c>
      <x:c r="L76" s="14" t="n">
        <x:v>1</x:v>
      </x:c>
      <x:c r="M76" t="str">
        <x:v>READY</x:v>
      </x:c>
      <x:c r="N76" t="str">
        <x:v>AKTIF</x:v>
      </x:c>
      <x:c r="O76" t="str"/>
      <x:c r="P76" t="str"/>
      <x:c r="Q76" t="str"/>
      <x:c r="R76" t="str"/>
      <x:c r="S76" t="str"/>
      <x:c r="T76" t="str"/>
      <x:c r="U76" s="18" t="n">
        <x:v>46134.041666666664</x:v>
      </x:c>
      <x:c r="V76" t="str">
        <x:v>INITIAL_IMPORT</x:v>
      </x:c>
    </x:row>
    <x:row r="77">
      <x:c r="A77" t="str">
        <x:v>PRD-JVS-0076</x:v>
      </x:c>
      <x:c r="B77" t="str">
        <x:v>JVS-0076</x:v>
      </x:c>
      <x:c r="C77" t="str">
        <x:v>Baut Setelan angin karburator model PX</x:v>
      </x:c>
      <x:c r="D77" t="str">
        <x:v>Mesin</x:v>
      </x:c>
      <x:c r="E77" t="str">
        <x:v>PX</x:v>
      </x:c>
      <x:c r="F77" t="str"/>
      <x:c r="G77" s="12" t="n">
        <x:v>12</x:v>
      </x:c>
      <x:c r="H77" s="12" t="n">
        <x:v>12</x:v>
      </x:c>
      <x:c r="I77" s="12" t="n">
        <x:v>0</x:v>
      </x:c>
      <x:c r="J77" s="16" t="n">
        <x:v>0</x:v>
      </x:c>
      <x:c r="K77" s="14" t="n">
        <x:v>3</x:v>
      </x:c>
      <x:c r="L77" s="14" t="n">
        <x:v>1</x:v>
      </x:c>
      <x:c r="M77" t="str">
        <x:v>READY</x:v>
      </x:c>
      <x:c r="N77" t="str">
        <x:v>AKTIF</x:v>
      </x:c>
      <x:c r="O77" t="str"/>
      <x:c r="P77" t="str"/>
      <x:c r="Q77" t="str"/>
      <x:c r="R77" t="str"/>
      <x:c r="S77" t="str"/>
      <x:c r="T77" t="str"/>
      <x:c r="U77" s="18" t="n">
        <x:v>46134.041666666664</x:v>
      </x:c>
      <x:c r="V77" t="str">
        <x:v>INITIAL_IMPORT</x:v>
      </x:c>
    </x:row>
    <x:row r="78">
      <x:c r="A78" t="str">
        <x:v>PRD-JVS-0077</x:v>
      </x:c>
      <x:c r="B78" t="str">
        <x:v>JVS-0077</x:v>
      </x:c>
      <x:c r="C78" t="str">
        <x:v>Baut Setelan Kabel gigi, gas, kopling Kawat Seling Vespa</x:v>
      </x:c>
      <x:c r="D78" t="str">
        <x:v>Mesin</x:v>
      </x:c>
      <x:c r="E78" t="str"/>
      <x:c r="F78" t="str"/>
      <x:c r="G78" s="12" t="n">
        <x:v>5</x:v>
      </x:c>
      <x:c r="H78" s="12" t="n">
        <x:v>5</x:v>
      </x:c>
      <x:c r="I78" s="12" t="n">
        <x:v>0</x:v>
      </x:c>
      <x:c r="J78" s="16" t="n">
        <x:v>0</x:v>
      </x:c>
      <x:c r="K78" s="14" t="n">
        <x:v>9</x:v>
      </x:c>
      <x:c r="L78" s="14" t="n">
        <x:v>1</x:v>
      </x:c>
      <x:c r="M78" t="str">
        <x:v>READY</x:v>
      </x:c>
      <x:c r="N78" t="str">
        <x:v>AKTIF</x:v>
      </x:c>
      <x:c r="O78" t="str"/>
      <x:c r="P78" t="str"/>
      <x:c r="Q78" t="str"/>
      <x:c r="R78" t="str"/>
      <x:c r="S78" t="str"/>
      <x:c r="T78" t="str"/>
      <x:c r="U78" s="18" t="n">
        <x:v>46134.041666666664</x:v>
      </x:c>
      <x:c r="V78" t="str">
        <x:v>INITIAL_IMPORT</x:v>
      </x:c>
    </x:row>
    <x:row r="79">
      <x:c r="A79" t="str">
        <x:v>PRD-JVS-0078</x:v>
      </x:c>
      <x:c r="B79" t="str">
        <x:v>JVS-0078</x:v>
      </x:c>
      <x:c r="C79" t="str">
        <x:v>Baut Setelan Kabel Rem Belakang Kawat Seling Vespa</x:v>
      </x:c>
      <x:c r="D79" t="str">
        <x:v>Kaki-Kaki</x:v>
      </x:c>
      <x:c r="E79" t="str"/>
      <x:c r="F79" t="str"/>
      <x:c r="G79" s="12" t="n">
        <x:v>7</x:v>
      </x:c>
      <x:c r="H79" s="12" t="n">
        <x:v>7</x:v>
      </x:c>
      <x:c r="I79" s="12" t="n">
        <x:v>0</x:v>
      </x:c>
      <x:c r="J79" s="16" t="n">
        <x:v>0</x:v>
      </x:c>
      <x:c r="K79" s="14" t="n">
        <x:v>2</x:v>
      </x:c>
      <x:c r="L79" s="14" t="n">
        <x:v>1</x:v>
      </x:c>
      <x:c r="M79" t="str">
        <x:v>READY</x:v>
      </x:c>
      <x:c r="N79" t="str">
        <x:v>AKTIF</x:v>
      </x:c>
      <x:c r="O79" t="str"/>
      <x:c r="P79" t="str"/>
      <x:c r="Q79" t="str"/>
      <x:c r="R79" t="str"/>
      <x:c r="S79" t="str"/>
      <x:c r="T79" t="str"/>
      <x:c r="U79" s="18" t="n">
        <x:v>46134.041666666664</x:v>
      </x:c>
      <x:c r="V79" t="str">
        <x:v>INITIAL_IMPORT</x:v>
      </x:c>
    </x:row>
    <x:row r="80">
      <x:c r="A80" t="str">
        <x:v>PRD-JVS-0079</x:v>
      </x:c>
      <x:c r="B80" t="str">
        <x:v>JVS-0079</x:v>
      </x:c>
      <x:c r="C80" t="str">
        <x:v>Baut Setelan Kawat Kopling</x:v>
      </x:c>
      <x:c r="D80" t="str">
        <x:v>Mesin</x:v>
      </x:c>
      <x:c r="E80" t="str"/>
      <x:c r="F80" t="str"/>
      <x:c r="G80" s="12" t="n">
        <x:v>18.5</x:v>
      </x:c>
      <x:c r="H80" s="12" t="n">
        <x:v>18.5</x:v>
      </x:c>
      <x:c r="I80" s="12" t="n">
        <x:v>0</x:v>
      </x:c>
      <x:c r="J80" s="16" t="n">
        <x:v>0</x:v>
      </x:c>
      <x:c r="K80" s="14" t="n">
        <x:v>2</x:v>
      </x:c>
      <x:c r="L80" s="14" t="n">
        <x:v>1</x:v>
      </x:c>
      <x:c r="M80" t="str">
        <x:v>READY</x:v>
      </x:c>
      <x:c r="N80" t="str">
        <x:v>AKTIF</x:v>
      </x:c>
      <x:c r="O80" t="str"/>
      <x:c r="P80" t="str"/>
      <x:c r="Q80" t="str"/>
      <x:c r="R80" t="str"/>
      <x:c r="S80" t="str"/>
      <x:c r="T80" t="str"/>
      <x:c r="U80" s="18" t="n">
        <x:v>46134.041666666664</x:v>
      </x:c>
      <x:c r="V80" t="str">
        <x:v>INITIAL_IMPORT</x:v>
      </x:c>
    </x:row>
    <x:row r="81">
      <x:c r="A81" t="str">
        <x:v>PRD-JVS-0080</x:v>
      </x:c>
      <x:c r="B81" t="str">
        <x:v>JVS-0080</x:v>
      </x:c>
      <x:c r="C81" t="str">
        <x:v>Baut Setelan Reflektor vespa super 66</x:v>
      </x:c>
      <x:c r="D81" t="str">
        <x:v>Servis</x:v>
      </x:c>
      <x:c r="E81" t="str">
        <x:v>SUPER</x:v>
      </x:c>
      <x:c r="F81" t="str"/>
      <x:c r="G81" s="12" t="n">
        <x:v>15</x:v>
      </x:c>
      <x:c r="H81" s="12" t="n">
        <x:v>15</x:v>
      </x:c>
      <x:c r="I81" s="12" t="n">
        <x:v>0</x:v>
      </x:c>
      <x:c r="J81" s="16" t="n">
        <x:v>0</x:v>
      </x:c>
      <x:c r="K81" s="14" t="n">
        <x:v>3</x:v>
      </x:c>
      <x:c r="L81" s="14" t="n">
        <x:v>1</x:v>
      </x:c>
      <x:c r="M81" t="str">
        <x:v>READY</x:v>
      </x:c>
      <x:c r="N81" t="str">
        <x:v>AKTIF</x:v>
      </x:c>
      <x:c r="O81" t="str"/>
      <x:c r="P81" t="str"/>
      <x:c r="Q81" t="str"/>
      <x:c r="R81" t="str"/>
      <x:c r="S81" t="str"/>
      <x:c r="T81" t="str"/>
      <x:c r="U81" s="18" t="n">
        <x:v>46134.041666666664</x:v>
      </x:c>
      <x:c r="V81" t="str">
        <x:v>INITIAL_IMPORT</x:v>
      </x:c>
    </x:row>
    <x:row r="82">
      <x:c r="A82" t="str">
        <x:v>PRD-JVS-0081</x:v>
      </x:c>
      <x:c r="B82" t="str">
        <x:v>JVS-0081</x:v>
      </x:c>
      <x:c r="C82" t="str">
        <x:v>Baut Shockbreaker Belakang Bawah Vespa</x:v>
      </x:c>
      <x:c r="D82" t="str">
        <x:v>Kaki-Kaki</x:v>
      </x:c>
      <x:c r="E82" t="str"/>
      <x:c r="F82" t="str"/>
      <x:c r="G82" s="12" t="n">
        <x:v>12.5</x:v>
      </x:c>
      <x:c r="H82" s="12" t="n">
        <x:v>12.5</x:v>
      </x:c>
      <x:c r="I82" s="12" t="n">
        <x:v>0</x:v>
      </x:c>
      <x:c r="J82" s="16" t="n">
        <x:v>0</x:v>
      </x:c>
      <x:c r="K82" s="14" t="n">
        <x:v>4</x:v>
      </x:c>
      <x:c r="L82" s="14" t="n">
        <x:v>1</x:v>
      </x:c>
      <x:c r="M82" t="str">
        <x:v>READY</x:v>
      </x:c>
      <x:c r="N82" t="str">
        <x:v>AKTIF</x:v>
      </x:c>
      <x:c r="O82" t="str"/>
      <x:c r="P82" t="str"/>
      <x:c r="Q82" t="str"/>
      <x:c r="R82" t="str"/>
      <x:c r="S82" t="str"/>
      <x:c r="T82" t="str"/>
      <x:c r="U82" s="18" t="n">
        <x:v>46134.041666666664</x:v>
      </x:c>
      <x:c r="V82" t="str">
        <x:v>INITIAL_IMPORT</x:v>
      </x:c>
    </x:row>
    <x:row r="83">
      <x:c r="A83" t="str">
        <x:v>PRD-JVS-0082</x:v>
      </x:c>
      <x:c r="B83" t="str">
        <x:v>JVS-0082</x:v>
      </x:c>
      <x:c r="C83" t="str">
        <x:v>Baut Shockbreaker depan Atas vespa kaki 3</x:v>
      </x:c>
      <x:c r="D83" t="str">
        <x:v>Kaki-Kaki</x:v>
      </x:c>
      <x:c r="E83" t="str"/>
      <x:c r="F83" t="str"/>
      <x:c r="G83" s="12" t="n">
        <x:v>10</x:v>
      </x:c>
      <x:c r="H83" s="12" t="n">
        <x:v>10</x:v>
      </x:c>
      <x:c r="I83" s="12" t="n">
        <x:v>0</x:v>
      </x:c>
      <x:c r="J83" s="16" t="n">
        <x:v>0</x:v>
      </x:c>
      <x:c r="K83" s="14" t="n">
        <x:v>1</x:v>
      </x:c>
      <x:c r="L83" s="14" t="n">
        <x:v>1</x:v>
      </x:c>
      <x:c r="M83" t="str">
        <x:v>LOW</x:v>
      </x:c>
      <x:c r="N83" t="str">
        <x:v>AKTIF</x:v>
      </x:c>
      <x:c r="O83" t="str"/>
      <x:c r="P83" t="str"/>
      <x:c r="Q83" t="str"/>
      <x:c r="R83" t="str"/>
      <x:c r="S83" t="str"/>
      <x:c r="T83" t="str"/>
      <x:c r="U83" s="18" t="n">
        <x:v>46134.041666666664</x:v>
      </x:c>
      <x:c r="V83" t="str">
        <x:v>INITIAL_IMPORT</x:v>
      </x:c>
    </x:row>
    <x:row r="84">
      <x:c r="A84" t="str">
        <x:v>PRD-JVS-0083</x:v>
      </x:c>
      <x:c r="B84" t="str">
        <x:v>JVS-0083</x:v>
      </x:c>
      <x:c r="C84" t="str">
        <x:v>Baut Shockbreaker depan bawah vespa kaki 3</x:v>
      </x:c>
      <x:c r="D84" t="str">
        <x:v>Kaki-Kaki</x:v>
      </x:c>
      <x:c r="E84" t="str"/>
      <x:c r="F84" t="str"/>
      <x:c r="G84" s="12" t="n">
        <x:v>13</x:v>
      </x:c>
      <x:c r="H84" s="12" t="n">
        <x:v>13</x:v>
      </x:c>
      <x:c r="I84" s="12" t="n">
        <x:v>0</x:v>
      </x:c>
      <x:c r="J84" s="16" t="n">
        <x:v>0</x:v>
      </x:c>
      <x:c r="K84" s="14" t="n">
        <x:v>4</x:v>
      </x:c>
      <x:c r="L84" s="14" t="n">
        <x:v>1</x:v>
      </x:c>
      <x:c r="M84" t="str">
        <x:v>READY</x:v>
      </x:c>
      <x:c r="N84" t="str">
        <x:v>AKTIF</x:v>
      </x:c>
      <x:c r="O84" t="str"/>
      <x:c r="P84" t="str"/>
      <x:c r="Q84" t="str"/>
      <x:c r="R84" t="str"/>
      <x:c r="S84" t="str"/>
      <x:c r="T84" t="str"/>
      <x:c r="U84" s="18" t="n">
        <x:v>46134.041666666664</x:v>
      </x:c>
      <x:c r="V84" t="str">
        <x:v>INITIAL_IMPORT</x:v>
      </x:c>
    </x:row>
    <x:row r="85">
      <x:c r="A85" t="str">
        <x:v>PRD-JVS-0084</x:v>
      </x:c>
      <x:c r="B85" t="str">
        <x:v>JVS-0084</x:v>
      </x:c>
      <x:c r="C85" t="str">
        <x:v>Baut Spedometer Vespa Super Model Ori</x:v>
      </x:c>
      <x:c r="D85" t="str">
        <x:v>Body</x:v>
      </x:c>
      <x:c r="E85" t="str">
        <x:v>SUPER</x:v>
      </x:c>
      <x:c r="F85" t="str"/>
      <x:c r="G85" s="12" t="n">
        <x:v>12</x:v>
      </x:c>
      <x:c r="H85" s="12" t="n">
        <x:v>12</x:v>
      </x:c>
      <x:c r="I85" s="12" t="n">
        <x:v>0</x:v>
      </x:c>
      <x:c r="J85" s="16" t="n">
        <x:v>0</x:v>
      </x:c>
      <x:c r="K85" s="14" t="n">
        <x:v>1</x:v>
      </x:c>
      <x:c r="L85" s="14" t="n">
        <x:v>1</x:v>
      </x:c>
      <x:c r="M85" t="str">
        <x:v>LOW</x:v>
      </x:c>
      <x:c r="N85" t="str">
        <x:v>AKTIF</x:v>
      </x:c>
      <x:c r="O85" t="str"/>
      <x:c r="P85" t="str"/>
      <x:c r="Q85" t="str"/>
      <x:c r="R85" t="str"/>
      <x:c r="S85" t="str"/>
      <x:c r="T85" t="str"/>
      <x:c r="U85" s="18" t="n">
        <x:v>46134.041666666664</x:v>
      </x:c>
      <x:c r="V85" t="str">
        <x:v>INITIAL_IMPORT</x:v>
      </x:c>
    </x:row>
    <x:row r="86">
      <x:c r="A86" t="str">
        <x:v>PRD-JVS-0085</x:v>
      </x:c>
      <x:c r="B86" t="str">
        <x:v>JVS-0085</x:v>
      </x:c>
      <x:c r="C86" t="str">
        <x:v>Baut Standar tengah set ring mur kunci 10</x:v>
      </x:c>
      <x:c r="D86" t="str">
        <x:v>Kaki-Kaki</x:v>
      </x:c>
      <x:c r="E86" t="str"/>
      <x:c r="F86" t="str"/>
      <x:c r="G86" s="12" t="n">
        <x:v>10</x:v>
      </x:c>
      <x:c r="H86" s="12" t="n">
        <x:v>10</x:v>
      </x:c>
      <x:c r="I86" s="12" t="n">
        <x:v>0</x:v>
      </x:c>
      <x:c r="J86" s="16" t="n">
        <x:v>0</x:v>
      </x:c>
      <x:c r="K86" s="14" t="n">
        <x:v>8</x:v>
      </x:c>
      <x:c r="L86" s="14" t="n">
        <x:v>1</x:v>
      </x:c>
      <x:c r="M86" t="str">
        <x:v>READY</x:v>
      </x:c>
      <x:c r="N86" t="str">
        <x:v>AKTIF</x:v>
      </x:c>
      <x:c r="O86" t="str"/>
      <x:c r="P86" t="str"/>
      <x:c r="Q86" t="str"/>
      <x:c r="R86" t="str"/>
      <x:c r="S86" t="str"/>
      <x:c r="T86" t="str"/>
      <x:c r="U86" s="18" t="n">
        <x:v>46134.041666666664</x:v>
      </x:c>
      <x:c r="V86" t="str">
        <x:v>INITIAL_IMPORT</x:v>
      </x:c>
    </x:row>
    <x:row r="87">
      <x:c r="A87" t="str">
        <x:v>PRD-JVS-0086</x:v>
      </x:c>
      <x:c r="B87" t="str">
        <x:v>JVS-0086</x:v>
      </x:c>
      <x:c r="C87" t="str">
        <x:v>Baut Stang Kunci L Vespa Excel</x:v>
      </x:c>
      <x:c r="D87" t="str">
        <x:v>Body</x:v>
      </x:c>
      <x:c r="E87" t="str">
        <x:v>EXCEL</x:v>
      </x:c>
      <x:c r="F87" t="str"/>
      <x:c r="G87" s="12" t="n">
        <x:v>17</x:v>
      </x:c>
      <x:c r="H87" s="12" t="n">
        <x:v>17</x:v>
      </x:c>
      <x:c r="I87" s="12" t="n">
        <x:v>0</x:v>
      </x:c>
      <x:c r="J87" s="16" t="n">
        <x:v>0</x:v>
      </x:c>
      <x:c r="K87" s="14" t="n">
        <x:v>1</x:v>
      </x:c>
      <x:c r="L87" s="14" t="n">
        <x:v>1</x:v>
      </x:c>
      <x:c r="M87" t="str">
        <x:v>LOW</x:v>
      </x:c>
      <x:c r="N87" t="str">
        <x:v>AKTIF</x:v>
      </x:c>
      <x:c r="O87" t="str"/>
      <x:c r="P87" t="str"/>
      <x:c r="Q87" t="str"/>
      <x:c r="R87" t="str"/>
      <x:c r="S87" t="str"/>
      <x:c r="T87" t="str"/>
      <x:c r="U87" s="18" t="n">
        <x:v>46134.041666666664</x:v>
      </x:c>
      <x:c r="V87" t="str">
        <x:v>INITIAL_IMPORT</x:v>
      </x:c>
    </x:row>
    <x:row r="88">
      <x:c r="A88" t="str">
        <x:v>PRD-JVS-0087</x:v>
      </x:c>
      <x:c r="B88" t="str">
        <x:v>JVS-0087</x:v>
      </x:c>
      <x:c r="C88" t="str">
        <x:v>Baut Stang Mur Kotak Vespa Kunci 14</x:v>
      </x:c>
      <x:c r="D88" t="str">
        <x:v>Body</x:v>
      </x:c>
      <x:c r="E88" t="str"/>
      <x:c r="F88" t="str"/>
      <x:c r="G88" s="12" t="n">
        <x:v>15</x:v>
      </x:c>
      <x:c r="H88" s="12" t="n">
        <x:v>15</x:v>
      </x:c>
      <x:c r="I88" s="12" t="n">
        <x:v>0</x:v>
      </x:c>
      <x:c r="J88" s="16" t="n">
        <x:v>0</x:v>
      </x:c>
      <x:c r="K88" s="14" t="n">
        <x:v>3</x:v>
      </x:c>
      <x:c r="L88" s="14" t="n">
        <x:v>1</x:v>
      </x:c>
      <x:c r="M88" t="str">
        <x:v>READY</x:v>
      </x:c>
      <x:c r="N88" t="str">
        <x:v>AKTIF</x:v>
      </x:c>
      <x:c r="O88" t="str"/>
      <x:c r="P88" t="str"/>
      <x:c r="Q88" t="str"/>
      <x:c r="R88" t="str"/>
      <x:c r="S88" t="str"/>
      <x:c r="T88" t="str"/>
      <x:c r="U88" s="18" t="n">
        <x:v>46134.041666666664</x:v>
      </x:c>
      <x:c r="V88" t="str">
        <x:v>INITIAL_IMPORT</x:v>
      </x:c>
    </x:row>
    <x:row r="89">
      <x:c r="A89" t="str">
        <x:v>PRD-JVS-0088</x:v>
      </x:c>
      <x:c r="B89" t="str">
        <x:v>JVS-0088</x:v>
      </x:c>
      <x:c r="C89" t="str">
        <x:v>Baut Stasioner langsam karburator vespa</x:v>
      </x:c>
      <x:c r="D89" t="str">
        <x:v>Mesin</x:v>
      </x:c>
      <x:c r="E89" t="str"/>
      <x:c r="F89" t="str"/>
      <x:c r="G89" s="12" t="n">
        <x:v>18</x:v>
      </x:c>
      <x:c r="H89" s="12" t="n">
        <x:v>18</x:v>
      </x:c>
      <x:c r="I89" s="12" t="n">
        <x:v>0</x:v>
      </x:c>
      <x:c r="J89" s="16" t="n">
        <x:v>0</x:v>
      </x:c>
      <x:c r="K89" s="14" t="n">
        <x:v>0</x:v>
      </x:c>
      <x:c r="L89" s="14" t="n">
        <x:v>1</x:v>
      </x:c>
      <x:c r="M89" t="str">
        <x:v>OUT OF STOCK</x:v>
      </x:c>
      <x:c r="N89" t="str">
        <x:v>AKTIF</x:v>
      </x:c>
      <x:c r="O89" t="str"/>
      <x:c r="P89" t="str"/>
      <x:c r="Q89" t="str"/>
      <x:c r="R89" t="str"/>
      <x:c r="S89" t="str"/>
      <x:c r="T89" t="str"/>
      <x:c r="U89" s="18" t="n">
        <x:v>46134.041666666664</x:v>
      </x:c>
      <x:c r="V89" t="str">
        <x:v>INITIAL_IMPORT</x:v>
      </x:c>
    </x:row>
    <x:row r="90">
      <x:c r="A90" t="str">
        <x:v>PRD-JVS-0089</x:v>
      </x:c>
      <x:c r="B90" t="str">
        <x:v>JVS-0089</x:v>
      </x:c>
      <x:c r="C90" t="str">
        <x:v>Baut Tanam Blok 11/11</x:v>
      </x:c>
      <x:c r="D90" t="str">
        <x:v>Mesin</x:v>
      </x:c>
      <x:c r="E90" t="str"/>
      <x:c r="F90" t="str"/>
      <x:c r="G90" s="12" t="n">
        <x:v>7.5</x:v>
      </x:c>
      <x:c r="H90" s="12" t="n">
        <x:v>7.5</x:v>
      </x:c>
      <x:c r="I90" s="12" t="n">
        <x:v>0</x:v>
      </x:c>
      <x:c r="J90" s="16" t="n">
        <x:v>0</x:v>
      </x:c>
      <x:c r="K90" s="14" t="n">
        <x:v>4</x:v>
      </x:c>
      <x:c r="L90" s="14" t="n">
        <x:v>1</x:v>
      </x:c>
      <x:c r="M90" t="str">
        <x:v>READY</x:v>
      </x:c>
      <x:c r="N90" t="str">
        <x:v>AKTIF</x:v>
      </x:c>
      <x:c r="O90" t="str"/>
      <x:c r="P90" t="str"/>
      <x:c r="Q90" t="str"/>
      <x:c r="R90" t="str"/>
      <x:c r="S90" t="str"/>
      <x:c r="T90" t="str"/>
      <x:c r="U90" s="18" t="n">
        <x:v>46134.041666666664</x:v>
      </x:c>
      <x:c r="V90" t="str">
        <x:v>INITIAL_IMPORT</x:v>
      </x:c>
    </x:row>
    <x:row r="91">
      <x:c r="A91" t="str">
        <x:v>PRD-JVS-0090</x:v>
      </x:c>
      <x:c r="B91" t="str">
        <x:v>JVS-0090</x:v>
      </x:c>
      <x:c r="C91" t="str">
        <x:v>Baut Tanam Blok 11/12</x:v>
      </x:c>
      <x:c r="D91" t="str">
        <x:v>Mesin</x:v>
      </x:c>
      <x:c r="E91" t="str"/>
      <x:c r="F91" t="str"/>
      <x:c r="G91" s="12" t="n">
        <x:v>7.5</x:v>
      </x:c>
      <x:c r="H91" s="12" t="n">
        <x:v>7.5</x:v>
      </x:c>
      <x:c r="I91" s="12" t="n">
        <x:v>0</x:v>
      </x:c>
      <x:c r="J91" s="16" t="n">
        <x:v>0</x:v>
      </x:c>
      <x:c r="K91" s="14" t="n">
        <x:v>5</x:v>
      </x:c>
      <x:c r="L91" s="14" t="n">
        <x:v>1</x:v>
      </x:c>
      <x:c r="M91" t="str">
        <x:v>READY</x:v>
      </x:c>
      <x:c r="N91" t="str">
        <x:v>AKTIF</x:v>
      </x:c>
      <x:c r="O91" t="str"/>
      <x:c r="P91" t="str"/>
      <x:c r="Q91" t="str"/>
      <x:c r="R91" t="str"/>
      <x:c r="S91" t="str"/>
      <x:c r="T91" t="str"/>
      <x:c r="U91" s="18" t="n">
        <x:v>46134.041666666664</x:v>
      </x:c>
      <x:c r="V91" t="str">
        <x:v>INITIAL_IMPORT</x:v>
      </x:c>
    </x:row>
    <x:row r="92">
      <x:c r="A92" t="str">
        <x:v>PRD-JVS-0091</x:v>
      </x:c>
      <x:c r="B92" t="str">
        <x:v>JVS-0091</x:v>
      </x:c>
      <x:c r="C92" t="str">
        <x:v>Baut Tanam Blok Spartan 12/12</x:v>
      </x:c>
      <x:c r="D92" t="str">
        <x:v>Mesin</x:v>
      </x:c>
      <x:c r="E92" t="str">
        <x:v>SPARTAN</x:v>
      </x:c>
      <x:c r="F92" t="str"/>
      <x:c r="G92" s="12" t="n">
        <x:v>8.5</x:v>
      </x:c>
      <x:c r="H92" s="12" t="n">
        <x:v>8.5</x:v>
      </x:c>
      <x:c r="I92" s="12" t="n">
        <x:v>0</x:v>
      </x:c>
      <x:c r="J92" s="16" t="n">
        <x:v>0</x:v>
      </x:c>
      <x:c r="K92" s="14" t="n">
        <x:v>7</x:v>
      </x:c>
      <x:c r="L92" s="14" t="n">
        <x:v>1</x:v>
      </x:c>
      <x:c r="M92" t="str">
        <x:v>READY</x:v>
      </x:c>
      <x:c r="N92" t="str">
        <x:v>AKTIF</x:v>
      </x:c>
      <x:c r="O92" t="str"/>
      <x:c r="P92" t="str"/>
      <x:c r="Q92" t="str"/>
      <x:c r="R92" t="str"/>
      <x:c r="S92" t="str"/>
      <x:c r="T92" t="str"/>
      <x:c r="U92" s="18" t="n">
        <x:v>46134.041666666664</x:v>
      </x:c>
      <x:c r="V92" t="str">
        <x:v>INITIAL_IMPORT</x:v>
      </x:c>
    </x:row>
    <x:row r="93">
      <x:c r="A93" t="str">
        <x:v>PRD-JVS-0092</x:v>
      </x:c>
      <x:c r="B93" t="str">
        <x:v>JVS-0092</x:v>
      </x:c>
      <x:c r="C93" t="str">
        <x:v>Baut Tanam Karburator 11/11</x:v>
      </x:c>
      <x:c r="D93" t="str">
        <x:v>Mesin</x:v>
      </x:c>
      <x:c r="E93" t="str"/>
      <x:c r="F93" t="str"/>
      <x:c r="G93" s="12" t="n">
        <x:v>6</x:v>
      </x:c>
      <x:c r="H93" s="12" t="n">
        <x:v>6</x:v>
      </x:c>
      <x:c r="I93" s="12" t="n">
        <x:v>0</x:v>
      </x:c>
      <x:c r="J93" s="16" t="n">
        <x:v>0</x:v>
      </x:c>
      <x:c r="K93" s="14" t="n">
        <x:v>7</x:v>
      </x:c>
      <x:c r="L93" s="14" t="n">
        <x:v>1</x:v>
      </x:c>
      <x:c r="M93" t="str">
        <x:v>READY</x:v>
      </x:c>
      <x:c r="N93" t="str">
        <x:v>AKTIF</x:v>
      </x:c>
      <x:c r="O93" t="str"/>
      <x:c r="P93" t="str"/>
      <x:c r="Q93" t="str"/>
      <x:c r="R93" t="str"/>
      <x:c r="S93" t="str"/>
      <x:c r="T93" t="str"/>
      <x:c r="U93" s="18" t="n">
        <x:v>46134.041666666664</x:v>
      </x:c>
      <x:c r="V93" t="str">
        <x:v>INITIAL_IMPORT</x:v>
      </x:c>
    </x:row>
    <x:row r="94">
      <x:c r="A94" t="str">
        <x:v>PRD-JVS-0093</x:v>
      </x:c>
      <x:c r="B94" t="str">
        <x:v>JVS-0093</x:v>
      </x:c>
      <x:c r="C94" t="str">
        <x:v>Baut Tanam Karburator 11/12</x:v>
      </x:c>
      <x:c r="D94" t="str">
        <x:v>Mesin</x:v>
      </x:c>
      <x:c r="E94" t="str"/>
      <x:c r="F94" t="str"/>
      <x:c r="G94" s="12" t="n">
        <x:v>7</x:v>
      </x:c>
      <x:c r="H94" s="12" t="n">
        <x:v>7</x:v>
      </x:c>
      <x:c r="I94" s="12" t="n">
        <x:v>0</x:v>
      </x:c>
      <x:c r="J94" s="16" t="n">
        <x:v>0</x:v>
      </x:c>
      <x:c r="K94" s="14" t="n">
        <x:v>6</x:v>
      </x:c>
      <x:c r="L94" s="14" t="n">
        <x:v>1</x:v>
      </x:c>
      <x:c r="M94" t="str">
        <x:v>READY</x:v>
      </x:c>
      <x:c r="N94" t="str">
        <x:v>AKTIF</x:v>
      </x:c>
      <x:c r="O94" t="str"/>
      <x:c r="P94" t="str"/>
      <x:c r="Q94" t="str"/>
      <x:c r="R94" t="str"/>
      <x:c r="S94" t="str"/>
      <x:c r="T94" t="str"/>
      <x:c r="U94" s="18" t="n">
        <x:v>46134.041666666664</x:v>
      </x:c>
      <x:c r="V94" t="str">
        <x:v>INITIAL_IMPORT</x:v>
      </x:c>
    </x:row>
    <x:row r="95">
      <x:c r="A95" t="str">
        <x:v>PRD-JVS-0094</x:v>
      </x:c>
      <x:c r="B95" t="str">
        <x:v>JVS-0094</x:v>
      </x:c>
      <x:c r="C95" t="str">
        <x:v>Baut Tanam Perseneling 11/11</x:v>
      </x:c>
      <x:c r="D95" t="str">
        <x:v>Servis</x:v>
      </x:c>
      <x:c r="E95" t="str"/>
      <x:c r="F95" t="str"/>
      <x:c r="G95" s="12" t="n">
        <x:v>7</x:v>
      </x:c>
      <x:c r="H95" s="12" t="n">
        <x:v>7</x:v>
      </x:c>
      <x:c r="I95" s="12" t="n">
        <x:v>0</x:v>
      </x:c>
      <x:c r="J95" s="16" t="n">
        <x:v>0</x:v>
      </x:c>
      <x:c r="K95" s="14" t="n">
        <x:v>10</x:v>
      </x:c>
      <x:c r="L95" s="14" t="n">
        <x:v>1</x:v>
      </x:c>
      <x:c r="M95" t="str">
        <x:v>READY</x:v>
      </x:c>
      <x:c r="N95" t="str">
        <x:v>AKTIF</x:v>
      </x:c>
      <x:c r="O95" t="str"/>
      <x:c r="P95" t="str"/>
      <x:c r="Q95" t="str"/>
      <x:c r="R95" t="str"/>
      <x:c r="S95" t="str"/>
      <x:c r="T95" t="str"/>
      <x:c r="U95" s="18" t="n">
        <x:v>46134.041666666664</x:v>
      </x:c>
      <x:c r="V95" t="str">
        <x:v>INITIAL_IMPORT</x:v>
      </x:c>
    </x:row>
    <x:row r="96">
      <x:c r="A96" t="str">
        <x:v>PRD-JVS-0095</x:v>
      </x:c>
      <x:c r="B96" t="str">
        <x:v>JVS-0095</x:v>
      </x:c>
      <x:c r="C96" t="str">
        <x:v>Baut Tanam Perseneling 12/11</x:v>
      </x:c>
      <x:c r="D96" t="str">
        <x:v>Servis</x:v>
      </x:c>
      <x:c r="E96" t="str"/>
      <x:c r="F96" t="str"/>
      <x:c r="G96" s="12" t="n">
        <x:v>8</x:v>
      </x:c>
      <x:c r="H96" s="12" t="n">
        <x:v>8</x:v>
      </x:c>
      <x:c r="I96" s="12" t="n">
        <x:v>0</x:v>
      </x:c>
      <x:c r="J96" s="16" t="n">
        <x:v>0</x:v>
      </x:c>
      <x:c r="K96" s="14" t="n">
        <x:v>5</x:v>
      </x:c>
      <x:c r="L96" s="14" t="n">
        <x:v>1</x:v>
      </x:c>
      <x:c r="M96" t="str">
        <x:v>READY</x:v>
      </x:c>
      <x:c r="N96" t="str">
        <x:v>AKTIF</x:v>
      </x:c>
      <x:c r="O96" t="str"/>
      <x:c r="P96" t="str"/>
      <x:c r="Q96" t="str"/>
      <x:c r="R96" t="str"/>
      <x:c r="S96" t="str"/>
      <x:c r="T96" t="str"/>
      <x:c r="U96" s="18" t="n">
        <x:v>46134.041666666664</x:v>
      </x:c>
      <x:c r="V96" t="str">
        <x:v>INITIAL_IMPORT</x:v>
      </x:c>
    </x:row>
    <x:row r="97">
      <x:c r="A97" t="str">
        <x:v>PRD-JVS-0096</x:v>
      </x:c>
      <x:c r="B97" t="str">
        <x:v>JVS-0096</x:v>
      </x:c>
      <x:c r="C97" t="str">
        <x:v>Baut Tanam Tromol Vespa</x:v>
      </x:c>
      <x:c r="D97" t="str">
        <x:v>Kaki-Kaki</x:v>
      </x:c>
      <x:c r="E97" t="str"/>
      <x:c r="F97" t="str"/>
      <x:c r="G97" s="12" t="n">
        <x:v>3.5</x:v>
      </x:c>
      <x:c r="H97" s="12" t="n">
        <x:v>3.5</x:v>
      </x:c>
      <x:c r="I97" s="12" t="n">
        <x:v>0</x:v>
      </x:c>
      <x:c r="J97" s="16" t="n">
        <x:v>0</x:v>
      </x:c>
      <x:c r="K97" s="14" t="n">
        <x:v>10</x:v>
      </x:c>
      <x:c r="L97" s="14" t="n">
        <x:v>1</x:v>
      </x:c>
      <x:c r="M97" t="str">
        <x:v>READY</x:v>
      </x:c>
      <x:c r="N97" t="str">
        <x:v>AKTIF</x:v>
      </x:c>
      <x:c r="O97" t="str"/>
      <x:c r="P97" t="str"/>
      <x:c r="Q97" t="str"/>
      <x:c r="R97" t="str"/>
      <x:c r="S97" t="str"/>
      <x:c r="T97" t="str"/>
      <x:c r="U97" s="18" t="n">
        <x:v>46134.041666666664</x:v>
      </x:c>
      <x:c r="V97" t="str">
        <x:v>INITIAL_IMPORT</x:v>
      </x:c>
    </x:row>
    <x:row r="98">
      <x:c r="A98" t="str">
        <x:v>PRD-JVS-0097</x:v>
      </x:c>
      <x:c r="B98" t="str">
        <x:v>JVS-0097</x:v>
      </x:c>
      <x:c r="C98" t="str">
        <x:v>Baut Tutup Karburator Biasa</x:v>
      </x:c>
      <x:c r="D98" t="str">
        <x:v>Mesin</x:v>
      </x:c>
      <x:c r="E98" t="str"/>
      <x:c r="F98" t="str"/>
      <x:c r="G98" s="12" t="str"/>
      <x:c r="H98" s="12" t="str"/>
      <x:c r="I98" s="12" t="str"/>
      <x:c r="J98" s="16" t="str"/>
      <x:c r="K98" s="14" t="n">
        <x:v>7</x:v>
      </x:c>
      <x:c r="L98" s="14" t="n">
        <x:v>1</x:v>
      </x:c>
      <x:c r="M98" t="str">
        <x:v>READY</x:v>
      </x:c>
      <x:c r="N98" t="str">
        <x:v>AKTIF</x:v>
      </x:c>
      <x:c r="O98" t="str"/>
      <x:c r="P98" t="str"/>
      <x:c r="Q98" t="str"/>
      <x:c r="R98" t="str"/>
      <x:c r="S98" t="str"/>
      <x:c r="T98" t="str"/>
      <x:c r="U98" s="18" t="n">
        <x:v>46134.041666666664</x:v>
      </x:c>
      <x:c r="V98" t="str">
        <x:v>INITIAL_IMPORT</x:v>
      </x:c>
    </x:row>
    <x:row r="99">
      <x:c r="A99" t="str">
        <x:v>PRD-JVS-0098</x:v>
      </x:c>
      <x:c r="B99" t="str">
        <x:v>JVS-0098</x:v>
      </x:c>
      <x:c r="C99" t="str">
        <x:v>Baut Tutup Karburator Min Danmotor</x:v>
      </x:c>
      <x:c r="D99" t="str">
        <x:v>Mesin</x:v>
      </x:c>
      <x:c r="E99" t="str"/>
      <x:c r="F99" t="str"/>
      <x:c r="G99" s="12" t="str"/>
      <x:c r="H99" s="12" t="str"/>
      <x:c r="I99" s="12" t="str"/>
      <x:c r="J99" s="16" t="str"/>
      <x:c r="K99" s="14" t="n">
        <x:v>12</x:v>
      </x:c>
      <x:c r="L99" s="14" t="n">
        <x:v>1</x:v>
      </x:c>
      <x:c r="M99" t="str">
        <x:v>READY</x:v>
      </x:c>
      <x:c r="N99" t="str">
        <x:v>AKTIF</x:v>
      </x:c>
      <x:c r="O99" t="str"/>
      <x:c r="P99" t="str"/>
      <x:c r="Q99" t="str"/>
      <x:c r="R99" t="str"/>
      <x:c r="S99" t="str"/>
      <x:c r="T99" t="str"/>
      <x:c r="U99" s="18" t="n">
        <x:v>46134.041666666664</x:v>
      </x:c>
      <x:c r="V99" t="str">
        <x:v>INITIAL_IMPORT</x:v>
      </x:c>
    </x:row>
    <x:row r="100">
      <x:c r="A100" t="str">
        <x:v>PRD-JVS-0099</x:v>
      </x:c>
      <x:c r="B100" t="str">
        <x:v>JVS-0099</x:v>
      </x:c>
      <x:c r="C100" t="str">
        <x:v>Baut Tutup Tap Oli Mesin M10</x:v>
      </x:c>
      <x:c r="D100" t="str">
        <x:v>Servis</x:v>
      </x:c>
      <x:c r="E100" t="str"/>
      <x:c r="F100" t="str"/>
      <x:c r="G100" s="12" t="n">
        <x:v>5</x:v>
      </x:c>
      <x:c r="H100" s="12" t="n">
        <x:v>5</x:v>
      </x:c>
      <x:c r="I100" s="12" t="n">
        <x:v>0</x:v>
      </x:c>
      <x:c r="J100" s="16" t="n">
        <x:v>0</x:v>
      </x:c>
      <x:c r="K100" s="14" t="n">
        <x:v>13</x:v>
      </x:c>
      <x:c r="L100" s="14" t="n">
        <x:v>1</x:v>
      </x:c>
      <x:c r="M100" t="str">
        <x:v>READY</x:v>
      </x:c>
      <x:c r="N100" t="str">
        <x:v>AKTIF</x:v>
      </x:c>
      <x:c r="O100" t="str"/>
      <x:c r="P100" t="str"/>
      <x:c r="Q100" t="str"/>
      <x:c r="R100" t="str"/>
      <x:c r="S100" t="str"/>
      <x:c r="T100" t="str"/>
      <x:c r="U100" s="18" t="n">
        <x:v>46134.041666666664</x:v>
      </x:c>
      <x:c r="V100" t="str">
        <x:v>INITIAL_IMPORT</x:v>
      </x:c>
    </x:row>
    <x:row r="101">
      <x:c r="A101" t="str">
        <x:v>PRD-JVS-0100</x:v>
      </x:c>
      <x:c r="B101" t="str">
        <x:v>JVS-0100</x:v>
      </x:c>
      <x:c r="C101" t="str">
        <x:v>Baut Tutup Tap Oli Mesin M10</x:v>
      </x:c>
      <x:c r="D101" t="str">
        <x:v>Servis</x:v>
      </x:c>
      <x:c r="E101" t="str"/>
      <x:c r="F101" t="str"/>
      <x:c r="G101" s="12" t="n">
        <x:v>5</x:v>
      </x:c>
      <x:c r="H101" s="12" t="n">
        <x:v>5</x:v>
      </x:c>
      <x:c r="I101" s="12" t="n">
        <x:v>0</x:v>
      </x:c>
      <x:c r="J101" s="16" t="n">
        <x:v>0</x:v>
      </x:c>
      <x:c r="K101" s="14" t="n">
        <x:v>2</x:v>
      </x:c>
      <x:c r="L101" s="14" t="n">
        <x:v>1</x:v>
      </x:c>
      <x:c r="M101" t="str">
        <x:v>READY</x:v>
      </x:c>
      <x:c r="N101" t="str">
        <x:v>AKTIF</x:v>
      </x:c>
      <x:c r="O101" t="str"/>
      <x:c r="P101" t="str"/>
      <x:c r="Q101" t="str"/>
      <x:c r="R101" t="str"/>
      <x:c r="S101" t="str"/>
      <x:c r="T101" t="str"/>
      <x:c r="U101" s="18" t="n">
        <x:v>46134.041666666664</x:v>
      </x:c>
      <x:c r="V101" t="str">
        <x:v>INITIAL_IMPORT</x:v>
      </x:c>
    </x:row>
    <x:row r="102">
      <x:c r="A102" t="str">
        <x:v>PRD-JVS-0101</x:v>
      </x:c>
      <x:c r="B102" t="str">
        <x:v>JVS-0101</x:v>
      </x:c>
      <x:c r="C102" t="str">
        <x:v>Baut Tutup Tap Oli Mesin M8</x:v>
      </x:c>
      <x:c r="D102" t="str">
        <x:v>Servis</x:v>
      </x:c>
      <x:c r="E102" t="str"/>
      <x:c r="F102" t="str"/>
      <x:c r="G102" s="12" t="n">
        <x:v>5</x:v>
      </x:c>
      <x:c r="H102" s="12" t="n">
        <x:v>5</x:v>
      </x:c>
      <x:c r="I102" s="12" t="n">
        <x:v>0</x:v>
      </x:c>
      <x:c r="J102" s="16" t="n">
        <x:v>0</x:v>
      </x:c>
      <x:c r="K102" s="14" t="n">
        <x:v>7</x:v>
      </x:c>
      <x:c r="L102" s="14" t="n">
        <x:v>1</x:v>
      </x:c>
      <x:c r="M102" t="str">
        <x:v>READY</x:v>
      </x:c>
      <x:c r="N102" t="str">
        <x:v>AKTIF</x:v>
      </x:c>
      <x:c r="O102" t="str"/>
      <x:c r="P102" t="str"/>
      <x:c r="Q102" t="str"/>
      <x:c r="R102" t="str"/>
      <x:c r="S102" t="str"/>
      <x:c r="T102" t="str"/>
      <x:c r="U102" s="18" t="n">
        <x:v>46134.041666666664</x:v>
      </x:c>
      <x:c r="V102" t="str">
        <x:v>INITIAL_IMPORT</x:v>
      </x:c>
    </x:row>
    <x:row r="103">
      <x:c r="A103" t="str">
        <x:v>PRD-JVS-0102</x:v>
      </x:c>
      <x:c r="B103" t="str">
        <x:v>JVS-0102</x:v>
      </x:c>
      <x:c r="C103" t="str">
        <x:v>Bemper Belakang Plastik Model Danmotor Vespa PX PS PXE Super Sprint Bajaj</x:v>
      </x:c>
      <x:c r="D103" t="str">
        <x:v>Servis</x:v>
      </x:c>
      <x:c r="E103" t="str">
        <x:v>PXE, PX, SUPER, SPRINT, PS, BAJAJ</x:v>
      </x:c>
      <x:c r="F103" t="str"/>
      <x:c r="G103" s="12" t="n">
        <x:v>35</x:v>
      </x:c>
      <x:c r="H103" s="12" t="n">
        <x:v>35</x:v>
      </x:c>
      <x:c r="I103" s="12" t="n">
        <x:v>0</x:v>
      </x:c>
      <x:c r="J103" s="16" t="n">
        <x:v>0</x:v>
      </x:c>
      <x:c r="K103" s="14" t="n">
        <x:v>2</x:v>
      </x:c>
      <x:c r="L103" s="14" t="n">
        <x:v>1</x:v>
      </x:c>
      <x:c r="M103" t="str">
        <x:v>READY</x:v>
      </x:c>
      <x:c r="N103" t="str">
        <x:v>AKTIF</x:v>
      </x:c>
      <x:c r="O103" t="str"/>
      <x:c r="P103" t="str"/>
      <x:c r="Q103" t="str"/>
      <x:c r="R103" t="str"/>
      <x:c r="S103" t="str"/>
      <x:c r="T103" t="str"/>
      <x:c r="U103" s="18" t="n">
        <x:v>46134.041666666664</x:v>
      </x:c>
      <x:c r="V103" t="str">
        <x:v>INITIAL_IMPORT</x:v>
      </x:c>
    </x:row>
    <x:row r="104">
      <x:c r="A104" t="str">
        <x:v>PRD-JVS-0103</x:v>
      </x:c>
      <x:c r="B104" t="str">
        <x:v>JVS-0103</x:v>
      </x:c>
      <x:c r="C104" t="str">
        <x:v>Bemper Belakang Variasi Model Pipa Chrome Vespa Largeframe</x:v>
      </x:c>
      <x:c r="D104" t="str">
        <x:v>Servis</x:v>
      </x:c>
      <x:c r="E104" t="str"/>
      <x:c r="F104" t="str"/>
      <x:c r="G104" s="12" t="n">
        <x:v>35</x:v>
      </x:c>
      <x:c r="H104" s="12" t="n">
        <x:v>35</x:v>
      </x:c>
      <x:c r="I104" s="12" t="n">
        <x:v>0</x:v>
      </x:c>
      <x:c r="J104" s="16" t="n">
        <x:v>0</x:v>
      </x:c>
      <x:c r="K104" s="14" t="n">
        <x:v>3</x:v>
      </x:c>
      <x:c r="L104" s="14" t="n">
        <x:v>1</x:v>
      </x:c>
      <x:c r="M104" t="str">
        <x:v>READY</x:v>
      </x:c>
      <x:c r="N104" t="str">
        <x:v>AKTIF</x:v>
      </x:c>
      <x:c r="O104" t="str"/>
      <x:c r="P104" t="str"/>
      <x:c r="Q104" t="str"/>
      <x:c r="R104" t="str"/>
      <x:c r="S104" t="str"/>
      <x:c r="T104" t="str"/>
      <x:c r="U104" s="18" t="n">
        <x:v>46134.041666666664</x:v>
      </x:c>
      <x:c r="V104" t="str">
        <x:v>INITIAL_IMPORT</x:v>
      </x:c>
    </x:row>
    <x:row r="105">
      <x:c r="A105" t="str">
        <x:v>PRD-JVS-0104</x:v>
      </x:c>
      <x:c r="B105" t="str">
        <x:v>JVS-0104</x:v>
      </x:c>
      <x:c r="C105" t="str">
        <x:v>Bemper Belakang Vespa Excel Danmotor</x:v>
      </x:c>
      <x:c r="D105" t="str">
        <x:v>Servis</x:v>
      </x:c>
      <x:c r="E105" t="str">
        <x:v>EXCEL</x:v>
      </x:c>
      <x:c r="F105" t="str"/>
      <x:c r="G105" s="12" t="str"/>
      <x:c r="H105" s="12" t="str"/>
      <x:c r="I105" s="12" t="str"/>
      <x:c r="J105" s="16" t="str"/>
      <x:c r="K105" s="14" t="n">
        <x:v>1</x:v>
      </x:c>
      <x:c r="L105" s="14" t="n">
        <x:v>1</x:v>
      </x:c>
      <x:c r="M105" t="str">
        <x:v>LOW</x:v>
      </x:c>
      <x:c r="N105" t="str">
        <x:v>AKTIF</x:v>
      </x:c>
      <x:c r="O105" t="str"/>
      <x:c r="P105" t="str"/>
      <x:c r="Q105" t="str"/>
      <x:c r="R105" t="str"/>
      <x:c r="S105" t="str"/>
      <x:c r="T105" t="str"/>
      <x:c r="U105" s="18" t="n">
        <x:v>46134.041666666664</x:v>
      </x:c>
      <x:c r="V105" t="str">
        <x:v>INITIAL_IMPORT</x:v>
      </x:c>
    </x:row>
    <x:row r="106">
      <x:c r="A106" t="str">
        <x:v>PRD-JVS-0105</x:v>
      </x:c>
      <x:c r="B106" t="str">
        <x:v>JVS-0105</x:v>
      </x:c>
      <x:c r="C106" t="str">
        <x:v>Besi Penahan Kabel Plat tahanan kaitan kabel gigi vespa bagian nempel rengkes</x:v>
      </x:c>
      <x:c r="D106" t="str">
        <x:v>Mesin</x:v>
      </x:c>
      <x:c r="E106" t="str"/>
      <x:c r="F106" t="str"/>
      <x:c r="G106" s="12" t="n">
        <x:v>15</x:v>
      </x:c>
      <x:c r="H106" s="12" t="n">
        <x:v>15</x:v>
      </x:c>
      <x:c r="I106" s="12" t="n">
        <x:v>0</x:v>
      </x:c>
      <x:c r="J106" s="16" t="n">
        <x:v>0</x:v>
      </x:c>
      <x:c r="K106" s="14" t="n">
        <x:v>2</x:v>
      </x:c>
      <x:c r="L106" s="14" t="n">
        <x:v>1</x:v>
      </x:c>
      <x:c r="M106" t="str">
        <x:v>READY</x:v>
      </x:c>
      <x:c r="N106" t="str">
        <x:v>AKTIF</x:v>
      </x:c>
      <x:c r="O106" t="str"/>
      <x:c r="P106" t="str"/>
      <x:c r="Q106" t="str"/>
      <x:c r="R106" t="str"/>
      <x:c r="S106" t="str"/>
      <x:c r="T106" t="str"/>
      <x:c r="U106" s="18" t="n">
        <x:v>46134.041666666664</x:v>
      </x:c>
      <x:c r="V106" t="str">
        <x:v>INITIAL_IMPORT</x:v>
      </x:c>
    </x:row>
    <x:row r="107">
      <x:c r="A107" t="str">
        <x:v>PRD-JVS-0106</x:v>
      </x:c>
      <x:c r="B107" t="str">
        <x:v>JVS-0106</x:v>
      </x:c>
      <x:c r="C107" t="str">
        <x:v>Blok Lubang 3 Set Piston Merk Crun/IDP</x:v>
      </x:c>
      <x:c r="D107" t="str">
        <x:v>Mesin</x:v>
      </x:c>
      <x:c r="E107" t="str"/>
      <x:c r="F107" t="str"/>
      <x:c r="G107" s="12" t="n">
        <x:v>430</x:v>
      </x:c>
      <x:c r="H107" s="12" t="n">
        <x:v>430</x:v>
      </x:c>
      <x:c r="I107" s="12" t="n">
        <x:v>0</x:v>
      </x:c>
      <x:c r="J107" s="16" t="n">
        <x:v>0</x:v>
      </x:c>
      <x:c r="K107" s="14" t="n">
        <x:v>1</x:v>
      </x:c>
      <x:c r="L107" s="14" t="n">
        <x:v>1</x:v>
      </x:c>
      <x:c r="M107" t="str">
        <x:v>LOW</x:v>
      </x:c>
      <x:c r="N107" t="str">
        <x:v>AKTIF</x:v>
      </x:c>
      <x:c r="O107" t="str"/>
      <x:c r="P107" t="str"/>
      <x:c r="Q107" t="str"/>
      <x:c r="R107" t="str"/>
      <x:c r="S107" t="str"/>
      <x:c r="T107" t="str"/>
      <x:c r="U107" s="18" t="n">
        <x:v>46134.041666666664</x:v>
      </x:c>
      <x:c r="V107" t="str">
        <x:v>INITIAL_IMPORT</x:v>
      </x:c>
    </x:row>
    <x:row r="108">
      <x:c r="A108" t="str">
        <x:v>PRD-JVS-0107</x:v>
      </x:c>
      <x:c r="B108" t="str">
        <x:v>JVS-0107</x:v>
      </x:c>
      <x:c r="C108" t="str">
        <x:v>Blok Lubang 5 Set Piston Merk Crun</x:v>
      </x:c>
      <x:c r="D108" t="str">
        <x:v>Mesin</x:v>
      </x:c>
      <x:c r="E108" t="str"/>
      <x:c r="F108" t="str"/>
      <x:c r="G108" s="12" t="n">
        <x:v>430</x:v>
      </x:c>
      <x:c r="H108" s="12" t="n">
        <x:v>430</x:v>
      </x:c>
      <x:c r="I108" s="12" t="n">
        <x:v>0</x:v>
      </x:c>
      <x:c r="J108" s="16" t="n">
        <x:v>0</x:v>
      </x:c>
      <x:c r="K108" s="14" t="n">
        <x:v>1</x:v>
      </x:c>
      <x:c r="L108" s="14" t="n">
        <x:v>1</x:v>
      </x:c>
      <x:c r="M108" t="str">
        <x:v>LOW</x:v>
      </x:c>
      <x:c r="N108" t="str">
        <x:v>AKTIF</x:v>
      </x:c>
      <x:c r="O108" t="str"/>
      <x:c r="P108" t="str"/>
      <x:c r="Q108" t="str"/>
      <x:c r="R108" t="str"/>
      <x:c r="S108" t="str"/>
      <x:c r="T108" t="str"/>
      <x:c r="U108" s="18" t="n">
        <x:v>46134.041666666664</x:v>
      </x:c>
      <x:c r="V108" t="str">
        <x:v>INITIAL_IMPORT</x:v>
      </x:c>
    </x:row>
    <x:row r="109">
      <x:c r="A109" t="str">
        <x:v>PRD-JVS-0108</x:v>
      </x:c>
      <x:c r="B109" t="str">
        <x:v>JVS-0108</x:v>
      </x:c>
      <x:c r="C109" t="str">
        <x:v>Blok Silinder Set Piston Lubang 3 Merk Danmotor</x:v>
      </x:c>
      <x:c r="D109" t="str">
        <x:v>Mesin</x:v>
      </x:c>
      <x:c r="E109" t="str"/>
      <x:c r="F109" t="str"/>
      <x:c r="G109" s="12" t="n">
        <x:v>825</x:v>
      </x:c>
      <x:c r="H109" s="12" t="n">
        <x:v>825</x:v>
      </x:c>
      <x:c r="I109" s="12" t="n">
        <x:v>0</x:v>
      </x:c>
      <x:c r="J109" s="16" t="n">
        <x:v>0</x:v>
      </x:c>
      <x:c r="K109" s="14" t="n">
        <x:v>0</x:v>
      </x:c>
      <x:c r="L109" s="14" t="n">
        <x:v>1</x:v>
      </x:c>
      <x:c r="M109" t="str">
        <x:v>OUT OF STOCK</x:v>
      </x:c>
      <x:c r="N109" t="str">
        <x:v>AKTIF</x:v>
      </x:c>
      <x:c r="O109" t="str"/>
      <x:c r="P109" t="str"/>
      <x:c r="Q109" t="str"/>
      <x:c r="R109" t="str"/>
      <x:c r="S109" t="str"/>
      <x:c r="T109" t="str"/>
      <x:c r="U109" s="18" t="n">
        <x:v>46134.041666666664</x:v>
      </x:c>
      <x:c r="V109" t="str">
        <x:v>INITIAL_IMPORT</x:v>
      </x:c>
    </x:row>
    <x:row r="110">
      <x:c r="A110" t="str">
        <x:v>PRD-JVS-0109</x:v>
      </x:c>
      <x:c r="B110" t="str">
        <x:v>JVS-0109</x:v>
      </x:c>
      <x:c r="C110" t="str">
        <x:v>Bohlam Depan Vespa biasa</x:v>
      </x:c>
      <x:c r="D110" t="str">
        <x:v>Kelistrikan</x:v>
      </x:c>
      <x:c r="E110" t="str"/>
      <x:c r="F110" t="str"/>
      <x:c r="G110" s="12" t="n">
        <x:v>15</x:v>
      </x:c>
      <x:c r="H110" s="12" t="n">
        <x:v>15</x:v>
      </x:c>
      <x:c r="I110" s="12" t="n">
        <x:v>0</x:v>
      </x:c>
      <x:c r="J110" s="16" t="n">
        <x:v>0</x:v>
      </x:c>
      <x:c r="K110" s="14" t="n">
        <x:v>0</x:v>
      </x:c>
      <x:c r="L110" s="14" t="n">
        <x:v>1</x:v>
      </x:c>
      <x:c r="M110" t="str">
        <x:v>OUT OF STOCK</x:v>
      </x:c>
      <x:c r="N110" t="str">
        <x:v>AKTIF</x:v>
      </x:c>
      <x:c r="O110" t="str"/>
      <x:c r="P110" t="str"/>
      <x:c r="Q110" t="str"/>
      <x:c r="R110" t="str"/>
      <x:c r="S110" t="str"/>
      <x:c r="T110" t="str"/>
      <x:c r="U110" s="18" t="n">
        <x:v>46134.041666666664</x:v>
      </x:c>
      <x:c r="V110" t="str">
        <x:v>INITIAL_IMPORT</x:v>
      </x:c>
    </x:row>
    <x:row r="111">
      <x:c r="A111" t="str">
        <x:v>PRD-JVS-0110</x:v>
      </x:c>
      <x:c r="B111" t="str">
        <x:v>JVS-0110</x:v>
      </x:c>
      <x:c r="C111" t="str">
        <x:v>Bohlam Halogen H4</x:v>
      </x:c>
      <x:c r="D111" t="str">
        <x:v>Kelistrikan</x:v>
      </x:c>
      <x:c r="E111" t="str"/>
      <x:c r="F111" t="str"/>
      <x:c r="G111" s="12" t="str"/>
      <x:c r="H111" s="12" t="str"/>
      <x:c r="I111" s="12" t="str"/>
      <x:c r="J111" s="16" t="str"/>
      <x:c r="K111" s="14" t="n">
        <x:v>0</x:v>
      </x:c>
      <x:c r="L111" s="14" t="n">
        <x:v>1</x:v>
      </x:c>
      <x:c r="M111" t="str">
        <x:v>OUT OF STOCK</x:v>
      </x:c>
      <x:c r="N111" t="str">
        <x:v>AKTIF</x:v>
      </x:c>
      <x:c r="O111" t="str"/>
      <x:c r="P111" t="str"/>
      <x:c r="Q111" t="str"/>
      <x:c r="R111" t="str"/>
      <x:c r="S111" t="str"/>
      <x:c r="T111" t="str"/>
      <x:c r="U111" s="18" t="n">
        <x:v>46134.041666666664</x:v>
      </x:c>
      <x:c r="V111" t="str">
        <x:v>INITIAL_IMPORT</x:v>
      </x:c>
    </x:row>
    <x:row r="112">
      <x:c r="A112" t="str">
        <x:v>PRD-JVS-0111</x:v>
      </x:c>
      <x:c r="B112" t="str">
        <x:v>JVS-0111</x:v>
      </x:c>
      <x:c r="C112" t="str">
        <x:v>Bohlam Halogen kaki 1 Stop Sein Vespa Engkel</x:v>
      </x:c>
      <x:c r="D112" t="str">
        <x:v>Kelistrikan</x:v>
      </x:c>
      <x:c r="E112" t="str"/>
      <x:c r="F112" t="str"/>
      <x:c r="G112" s="12" t="n">
        <x:v>5</x:v>
      </x:c>
      <x:c r="H112" s="12" t="n">
        <x:v>5</x:v>
      </x:c>
      <x:c r="I112" s="12" t="n">
        <x:v>0</x:v>
      </x:c>
      <x:c r="J112" s="16" t="n">
        <x:v>0</x:v>
      </x:c>
      <x:c r="K112" s="14" t="n">
        <x:v>13</x:v>
      </x:c>
      <x:c r="L112" s="14" t="n">
        <x:v>1</x:v>
      </x:c>
      <x:c r="M112" t="str">
        <x:v>READY</x:v>
      </x:c>
      <x:c r="N112" t="str">
        <x:v>AKTIF</x:v>
      </x:c>
      <x:c r="O112" t="str"/>
      <x:c r="P112" t="str"/>
      <x:c r="Q112" t="str"/>
      <x:c r="R112" t="str"/>
      <x:c r="S112" t="str"/>
      <x:c r="T112" t="str"/>
      <x:c r="U112" s="18" t="n">
        <x:v>46134.041666666664</x:v>
      </x:c>
      <x:c r="V112" t="str">
        <x:v>INITIAL_IMPORT</x:v>
      </x:c>
    </x:row>
    <x:row r="113">
      <x:c r="A113" t="str">
        <x:v>PRD-JVS-0112</x:v>
      </x:c>
      <x:c r="B113" t="str">
        <x:v>JVS-0112</x:v>
      </x:c>
      <x:c r="C113" t="str">
        <x:v>Bohlam Led Stop Rem Sein Vespa</x:v>
      </x:c>
      <x:c r="D113" t="str">
        <x:v>Kaki-Kaki</x:v>
      </x:c>
      <x:c r="E113" t="str"/>
      <x:c r="F113" t="str"/>
      <x:c r="G113" s="12" t="n">
        <x:v>5</x:v>
      </x:c>
      <x:c r="H113" s="12" t="n">
        <x:v>5</x:v>
      </x:c>
      <x:c r="I113" s="12" t="n">
        <x:v>0</x:v>
      </x:c>
      <x:c r="J113" s="16" t="n">
        <x:v>0</x:v>
      </x:c>
      <x:c r="K113" s="14" t="n">
        <x:v>0</x:v>
      </x:c>
      <x:c r="L113" s="14" t="n">
        <x:v>1</x:v>
      </x:c>
      <x:c r="M113" t="str">
        <x:v>OUT OF STOCK</x:v>
      </x:c>
      <x:c r="N113" t="str">
        <x:v>AKTIF</x:v>
      </x:c>
      <x:c r="O113" t="str"/>
      <x:c r="P113" t="str"/>
      <x:c r="Q113" t="str"/>
      <x:c r="R113" t="str"/>
      <x:c r="S113" t="str"/>
      <x:c r="T113" t="str"/>
      <x:c r="U113" s="18" t="n">
        <x:v>46134.041666666664</x:v>
      </x:c>
      <x:c r="V113" t="str">
        <x:v>INITIAL_IMPORT</x:v>
      </x:c>
    </x:row>
    <x:row r="114">
      <x:c r="A114" t="str">
        <x:v>PRD-JVS-0113</x:v>
      </x:c>
      <x:c r="B114" t="str">
        <x:v>JVS-0113</x:v>
      </x:c>
      <x:c r="C114" t="str">
        <x:v>Bohlam spedo T5</x:v>
      </x:c>
      <x:c r="D114" t="str">
        <x:v>Kelistrikan</x:v>
      </x:c>
      <x:c r="E114" t="str"/>
      <x:c r="F114" t="str"/>
      <x:c r="G114" s="12" t="n">
        <x:v>2</x:v>
      </x:c>
      <x:c r="H114" s="12" t="n">
        <x:v>2</x:v>
      </x:c>
      <x:c r="I114" s="12" t="n">
        <x:v>0</x:v>
      </x:c>
      <x:c r="J114" s="16" t="n">
        <x:v>0</x:v>
      </x:c>
      <x:c r="K114" s="14" t="n">
        <x:v>17</x:v>
      </x:c>
      <x:c r="L114" s="14" t="n">
        <x:v>1</x:v>
      </x:c>
      <x:c r="M114" t="str">
        <x:v>READY</x:v>
      </x:c>
      <x:c r="N114" t="str">
        <x:v>AKTIF</x:v>
      </x:c>
      <x:c r="O114" t="str"/>
      <x:c r="P114" t="str"/>
      <x:c r="Q114" t="str"/>
      <x:c r="R114" t="str"/>
      <x:c r="S114" t="str"/>
      <x:c r="T114" t="str"/>
      <x:c r="U114" s="18" t="n">
        <x:v>46134.041666666664</x:v>
      </x:c>
      <x:c r="V114" t="str">
        <x:v>INITIAL_IMPORT</x:v>
      </x:c>
    </x:row>
    <x:row r="115">
      <x:c r="A115" t="str">
        <x:v>PRD-JVS-0114</x:v>
      </x:c>
      <x:c r="B115" t="str">
        <x:v>JVS-0114</x:v>
      </x:c>
      <x:c r="C115" t="str">
        <x:v>Bohlam Vespa LED BA20D</x:v>
      </x:c>
      <x:c r="D115" t="str">
        <x:v>Kelistrikan</x:v>
      </x:c>
      <x:c r="E115" t="str"/>
      <x:c r="F115" t="str"/>
      <x:c r="G115" s="12" t="n">
        <x:v>35</x:v>
      </x:c>
      <x:c r="H115" s="12" t="n">
        <x:v>35</x:v>
      </x:c>
      <x:c r="I115" s="12" t="n">
        <x:v>0</x:v>
      </x:c>
      <x:c r="J115" s="16" t="n">
        <x:v>0</x:v>
      </x:c>
      <x:c r="K115" s="14" t="n">
        <x:v>2</x:v>
      </x:c>
      <x:c r="L115" s="14" t="n">
        <x:v>1</x:v>
      </x:c>
      <x:c r="M115" t="str">
        <x:v>READY</x:v>
      </x:c>
      <x:c r="N115" t="str">
        <x:v>AKTIF</x:v>
      </x:c>
      <x:c r="O115" t="str"/>
      <x:c r="P115" t="str"/>
      <x:c r="Q115" t="str"/>
      <x:c r="R115" t="str"/>
      <x:c r="S115" t="str"/>
      <x:c r="T115" t="str"/>
      <x:c r="U115" s="18" t="n">
        <x:v>46134.041666666664</x:v>
      </x:c>
      <x:c r="V115" t="str">
        <x:v>INITIAL_IMPORT</x:v>
      </x:c>
    </x:row>
    <x:row r="116">
      <x:c r="A116" t="str">
        <x:v>PRD-JVS-0115</x:v>
      </x:c>
      <x:c r="B116" t="str">
        <x:v>JVS-0115</x:v>
      </x:c>
      <x:c r="C116" t="str">
        <x:v>Bosh Kuningan Kopling Vesgio</x:v>
      </x:c>
      <x:c r="D116" t="str">
        <x:v>Mesin</x:v>
      </x:c>
      <x:c r="E116" t="str"/>
      <x:c r="F116" t="str"/>
      <x:c r="G116" s="12" t="n">
        <x:v>30</x:v>
      </x:c>
      <x:c r="H116" s="12" t="n">
        <x:v>30</x:v>
      </x:c>
      <x:c r="I116" s="12" t="n">
        <x:v>0</x:v>
      </x:c>
      <x:c r="J116" s="16" t="n">
        <x:v>0</x:v>
      </x:c>
      <x:c r="K116" s="14" t="n">
        <x:v>2</x:v>
      </x:c>
      <x:c r="L116" s="14" t="n">
        <x:v>1</x:v>
      </x:c>
      <x:c r="M116" t="str">
        <x:v>READY</x:v>
      </x:c>
      <x:c r="N116" t="str">
        <x:v>AKTIF</x:v>
      </x:c>
      <x:c r="O116" t="str"/>
      <x:c r="P116" t="str"/>
      <x:c r="Q116" t="str"/>
      <x:c r="R116" t="str"/>
      <x:c r="S116" t="str"/>
      <x:c r="T116" t="str"/>
      <x:c r="U116" s="18" t="n">
        <x:v>46134.041666666664</x:v>
      </x:c>
      <x:c r="V116" t="str">
        <x:v>INITIAL_IMPORT</x:v>
      </x:c>
    </x:row>
    <x:row r="117">
      <x:c r="A117" t="str">
        <x:v>PRD-JVS-0116</x:v>
      </x:c>
      <x:c r="B117" t="str">
        <x:v>JVS-0116</x:v>
      </x:c>
      <x:c r="C117" t="str">
        <x:v>Bosh Laher Kopling Pengganti Kuningan</x:v>
      </x:c>
      <x:c r="D117" t="str">
        <x:v>Mesin</x:v>
      </x:c>
      <x:c r="E117" t="str"/>
      <x:c r="F117" t="str"/>
      <x:c r="G117" s="12" t="n">
        <x:v>35</x:v>
      </x:c>
      <x:c r="H117" s="12" t="n">
        <x:v>35</x:v>
      </x:c>
      <x:c r="I117" s="12" t="n">
        <x:v>0</x:v>
      </x:c>
      <x:c r="J117" s="16" t="n">
        <x:v>0</x:v>
      </x:c>
      <x:c r="K117" s="14" t="n">
        <x:v>1</x:v>
      </x:c>
      <x:c r="L117" s="14" t="n">
        <x:v>1</x:v>
      </x:c>
      <x:c r="M117" t="str">
        <x:v>LOW</x:v>
      </x:c>
      <x:c r="N117" t="str">
        <x:v>AKTIF</x:v>
      </x:c>
      <x:c r="O117" t="str"/>
      <x:c r="P117" t="str"/>
      <x:c r="Q117" t="str"/>
      <x:c r="R117" t="str"/>
      <x:c r="S117" t="str"/>
      <x:c r="T117" t="str"/>
      <x:c r="U117" s="18" t="n">
        <x:v>46134.041666666664</x:v>
      </x:c>
      <x:c r="V117" t="str">
        <x:v>INITIAL_IMPORT</x:v>
      </x:c>
    </x:row>
    <x:row r="118">
      <x:c r="A118" t="str">
        <x:v>PRD-JVS-0117</x:v>
      </x:c>
      <x:c r="B118" t="str">
        <x:v>JVS-0117</x:v>
      </x:c>
      <x:c r="C118" t="str">
        <x:v>Bosh Shok depan Vespa Super Bagian Atas</x:v>
      </x:c>
      <x:c r="D118" t="str">
        <x:v>Servis</x:v>
      </x:c>
      <x:c r="E118" t="str">
        <x:v>SUPER</x:v>
      </x:c>
      <x:c r="F118" t="str"/>
      <x:c r="G118" s="12" t="str"/>
      <x:c r="H118" s="12" t="str"/>
      <x:c r="I118" s="12" t="str"/>
      <x:c r="J118" s="16" t="str"/>
      <x:c r="K118" s="14" t="n">
        <x:v>8</x:v>
      </x:c>
      <x:c r="L118" s="14" t="n">
        <x:v>1</x:v>
      </x:c>
      <x:c r="M118" t="str">
        <x:v>READY</x:v>
      </x:c>
      <x:c r="N118" t="str">
        <x:v>AKTIF</x:v>
      </x:c>
      <x:c r="O118" t="str"/>
      <x:c r="P118" t="str"/>
      <x:c r="Q118" t="str"/>
      <x:c r="R118" t="str"/>
      <x:c r="S118" t="str"/>
      <x:c r="T118" t="str"/>
      <x:c r="U118" s="18" t="n">
        <x:v>46134.041666666664</x:v>
      </x:c>
      <x:c r="V118" t="str">
        <x:v>INITIAL_IMPORT</x:v>
      </x:c>
    </x:row>
    <x:row r="119">
      <x:c r="A119" t="str">
        <x:v>PRD-JVS-0118</x:v>
      </x:c>
      <x:c r="B119" t="str">
        <x:v>JVS-0118</x:v>
      </x:c>
      <x:c r="C119" t="str">
        <x:v>Botol Takar Oli Samping Vespa</x:v>
      </x:c>
      <x:c r="D119" t="str">
        <x:v>Servis</x:v>
      </x:c>
      <x:c r="E119" t="str"/>
      <x:c r="F119" t="str"/>
      <x:c r="G119" s="12" t="n">
        <x:v>35</x:v>
      </x:c>
      <x:c r="H119" s="12" t="n">
        <x:v>35</x:v>
      </x:c>
      <x:c r="I119" s="12" t="n">
        <x:v>0</x:v>
      </x:c>
      <x:c r="J119" s="16" t="n">
        <x:v>0</x:v>
      </x:c>
      <x:c r="K119" s="14" t="n">
        <x:v>0</x:v>
      </x:c>
      <x:c r="L119" s="14" t="n">
        <x:v>1</x:v>
      </x:c>
      <x:c r="M119" t="str">
        <x:v>OUT OF STOCK</x:v>
      </x:c>
      <x:c r="N119" t="str">
        <x:v>AKTIF</x:v>
      </x:c>
      <x:c r="O119" t="str"/>
      <x:c r="P119" t="str"/>
      <x:c r="Q119" t="str"/>
      <x:c r="R119" t="str"/>
      <x:c r="S119" t="str"/>
      <x:c r="T119" t="str"/>
      <x:c r="U119" s="18" t="n">
        <x:v>46134.041666666664</x:v>
      </x:c>
      <x:c r="V119" t="str">
        <x:v>INITIAL_IMPORT</x:v>
      </x:c>
    </x:row>
    <x:row r="120">
      <x:c r="A120" t="str">
        <x:v>PRD-JVS-0119</x:v>
      </x:c>
      <x:c r="B120" t="str">
        <x:v>JVS-0119</x:v>
      </x:c>
      <x:c r="C120" t="str">
        <x:v>Breaket Knalpot Model Acerbiss</x:v>
      </x:c>
      <x:c r="D120" t="str">
        <x:v>Aksesoris</x:v>
      </x:c>
      <x:c r="E120" t="str"/>
      <x:c r="F120" t="str"/>
      <x:c r="G120" s="12" t="str"/>
      <x:c r="H120" s="12" t="str"/>
      <x:c r="I120" s="12" t="str"/>
      <x:c r="J120" s="16" t="str"/>
      <x:c r="K120" s="14" t="n">
        <x:v>1</x:v>
      </x:c>
      <x:c r="L120" s="14" t="n">
        <x:v>1</x:v>
      </x:c>
      <x:c r="M120" t="str">
        <x:v>LOW</x:v>
      </x:c>
      <x:c r="N120" t="str">
        <x:v>AKTIF</x:v>
      </x:c>
      <x:c r="O120" t="str"/>
      <x:c r="P120" t="str"/>
      <x:c r="Q120" t="str"/>
      <x:c r="R120" t="str"/>
      <x:c r="S120" t="str"/>
      <x:c r="T120" t="str"/>
      <x:c r="U120" s="18" t="n">
        <x:v>46134.041666666664</x:v>
      </x:c>
      <x:c r="V120" t="str">
        <x:v>INITIAL_IMPORT</x:v>
      </x:c>
    </x:row>
    <x:row r="121">
      <x:c r="A121" t="str">
        <x:v>PRD-JVS-0120</x:v>
      </x:c>
      <x:c r="B121" t="str">
        <x:v>JVS-0120</x:v>
      </x:c>
      <x:c r="C121" t="str">
        <x:v>Busi 2 Tak Drat Panjang Biasa Import</x:v>
      </x:c>
      <x:c r="D121" t="str">
        <x:v>Kelistrikan</x:v>
      </x:c>
      <x:c r="E121" t="str"/>
      <x:c r="F121" t="str"/>
      <x:c r="G121" s="12" t="n">
        <x:v>20</x:v>
      </x:c>
      <x:c r="H121" s="12" t="n">
        <x:v>20</x:v>
      </x:c>
      <x:c r="I121" s="12" t="n">
        <x:v>0</x:v>
      </x:c>
      <x:c r="J121" s="16" t="n">
        <x:v>0</x:v>
      </x:c>
      <x:c r="K121" s="14" t="n">
        <x:v>0</x:v>
      </x:c>
      <x:c r="L121" s="14" t="n">
        <x:v>1</x:v>
      </x:c>
      <x:c r="M121" t="str">
        <x:v>OUT OF STOCK</x:v>
      </x:c>
      <x:c r="N121" t="str">
        <x:v>AKTIF</x:v>
      </x:c>
      <x:c r="O121" t="str"/>
      <x:c r="P121" t="str"/>
      <x:c r="Q121" t="str"/>
      <x:c r="R121" t="str"/>
      <x:c r="S121" t="str"/>
      <x:c r="T121" t="str"/>
      <x:c r="U121" s="18" t="n">
        <x:v>46134.041666666664</x:v>
      </x:c>
      <x:c r="V121" t="str">
        <x:v>INITIAL_IMPORT</x:v>
      </x:c>
    </x:row>
    <x:row r="122">
      <x:c r="A122" t="str">
        <x:v>PRD-JVS-0121</x:v>
      </x:c>
      <x:c r="B122" t="str">
        <x:v>JVS-0121</x:v>
      </x:c>
      <x:c r="C122" t="str">
        <x:v>Busi 2 Tak Drat Pendek Biasa Import Champion denso</x:v>
      </x:c>
      <x:c r="D122" t="str">
        <x:v>Kelistrikan</x:v>
      </x:c>
      <x:c r="E122" t="str"/>
      <x:c r="F122" t="str"/>
      <x:c r="G122" s="12" t="n">
        <x:v>18</x:v>
      </x:c>
      <x:c r="H122" s="12" t="n">
        <x:v>18</x:v>
      </x:c>
      <x:c r="I122" s="12" t="n">
        <x:v>0</x:v>
      </x:c>
      <x:c r="J122" s="16" t="n">
        <x:v>0</x:v>
      </x:c>
      <x:c r="K122" s="14" t="n">
        <x:v>1</x:v>
      </x:c>
      <x:c r="L122" s="14" t="n">
        <x:v>1</x:v>
      </x:c>
      <x:c r="M122" t="str">
        <x:v>LOW</x:v>
      </x:c>
      <x:c r="N122" t="str">
        <x:v>AKTIF</x:v>
      </x:c>
      <x:c r="O122" t="str"/>
      <x:c r="P122" t="str"/>
      <x:c r="Q122" t="str"/>
      <x:c r="R122" t="str"/>
      <x:c r="S122" t="str"/>
      <x:c r="T122" t="str"/>
      <x:c r="U122" s="18" t="n">
        <x:v>46134.041666666664</x:v>
      </x:c>
      <x:c r="V122" t="str">
        <x:v>INITIAL_IMPORT</x:v>
      </x:c>
    </x:row>
    <x:row r="123">
      <x:c r="A123" t="str">
        <x:v>PRD-JVS-0122</x:v>
      </x:c>
      <x:c r="B123" t="str">
        <x:v>JVS-0122</x:v>
      </x:c>
      <x:c r="C123" t="str">
        <x:v>Busi Drat Panjang Merk Danmotor</x:v>
      </x:c>
      <x:c r="D123" t="str">
        <x:v>Kelistrikan</x:v>
      </x:c>
      <x:c r="E123" t="str"/>
      <x:c r="F123" t="str"/>
      <x:c r="G123" s="12" t="n">
        <x:v>22</x:v>
      </x:c>
      <x:c r="H123" s="12" t="n">
        <x:v>22</x:v>
      </x:c>
      <x:c r="I123" s="12" t="n">
        <x:v>0</x:v>
      </x:c>
      <x:c r="J123" s="16" t="n">
        <x:v>0</x:v>
      </x:c>
      <x:c r="K123" s="14" t="n">
        <x:v>5</x:v>
      </x:c>
      <x:c r="L123" s="14" t="n">
        <x:v>1</x:v>
      </x:c>
      <x:c r="M123" t="str">
        <x:v>READY</x:v>
      </x:c>
      <x:c r="N123" t="str">
        <x:v>AKTIF</x:v>
      </x:c>
      <x:c r="O123" t="str"/>
      <x:c r="P123" t="str"/>
      <x:c r="Q123" t="str"/>
      <x:c r="R123" t="str"/>
      <x:c r="S123" t="str"/>
      <x:c r="T123" t="str"/>
      <x:c r="U123" s="18" t="n">
        <x:v>46134.041666666664</x:v>
      </x:c>
      <x:c r="V123" t="str">
        <x:v>INITIAL_IMPORT</x:v>
      </x:c>
    </x:row>
    <x:row r="124">
      <x:c r="A124" t="str">
        <x:v>PRD-JVS-0123</x:v>
      </x:c>
      <x:c r="B124" t="str">
        <x:v>JVS-0123</x:v>
      </x:c>
      <x:c r="C124" t="str">
        <x:v>Busi Drat Pendek Merk Danmotor</x:v>
      </x:c>
      <x:c r="D124" t="str">
        <x:v>Kelistrikan</x:v>
      </x:c>
      <x:c r="E124" t="str"/>
      <x:c r="F124" t="str"/>
      <x:c r="G124" s="12" t="n">
        <x:v>20</x:v>
      </x:c>
      <x:c r="H124" s="12" t="n">
        <x:v>20</x:v>
      </x:c>
      <x:c r="I124" s="12" t="n">
        <x:v>0</x:v>
      </x:c>
      <x:c r="J124" s="16" t="n">
        <x:v>0</x:v>
      </x:c>
      <x:c r="K124" s="14" t="n">
        <x:v>2</x:v>
      </x:c>
      <x:c r="L124" s="14" t="n">
        <x:v>1</x:v>
      </x:c>
      <x:c r="M124" t="str">
        <x:v>READY</x:v>
      </x:c>
      <x:c r="N124" t="str">
        <x:v>AKTIF</x:v>
      </x:c>
      <x:c r="O124" t="str"/>
      <x:c r="P124" t="str"/>
      <x:c r="Q124" t="str"/>
      <x:c r="R124" t="str"/>
      <x:c r="S124" t="str"/>
      <x:c r="T124" t="str"/>
      <x:c r="U124" s="18" t="n">
        <x:v>46134.041666666664</x:v>
      </x:c>
      <x:c r="V124" t="str">
        <x:v>INITIAL_IMPORT</x:v>
      </x:c>
    </x:row>
    <x:row r="125">
      <x:c r="A125" t="str">
        <x:v>PRD-JVS-0124</x:v>
      </x:c>
      <x:c r="B125" t="str">
        <x:v>JVS-0124</x:v>
      </x:c>
      <x:c r="C125" t="str">
        <x:v>Busi Kaki 3 Panjang</x:v>
      </x:c>
      <x:c r="D125" t="str">
        <x:v>Kelistrikan</x:v>
      </x:c>
      <x:c r="E125" t="str"/>
      <x:c r="F125" t="str"/>
      <x:c r="G125" s="12" t="n">
        <x:v>20</x:v>
      </x:c>
      <x:c r="H125" s="12" t="n">
        <x:v>20</x:v>
      </x:c>
      <x:c r="I125" s="12" t="n">
        <x:v>0</x:v>
      </x:c>
      <x:c r="J125" s="16" t="n">
        <x:v>0</x:v>
      </x:c>
      <x:c r="K125" s="14" t="n">
        <x:v>0</x:v>
      </x:c>
      <x:c r="L125" s="14" t="n">
        <x:v>1</x:v>
      </x:c>
      <x:c r="M125" t="str">
        <x:v>OUT OF STOCK</x:v>
      </x:c>
      <x:c r="N125" t="str">
        <x:v>AKTIF</x:v>
      </x:c>
      <x:c r="O125" t="str"/>
      <x:c r="P125" t="str"/>
      <x:c r="Q125" t="str"/>
      <x:c r="R125" t="str"/>
      <x:c r="S125" t="str"/>
      <x:c r="T125" t="str"/>
      <x:c r="U125" s="18" t="n">
        <x:v>46134.041666666664</x:v>
      </x:c>
      <x:c r="V125" t="str">
        <x:v>INITIAL_IMPORT</x:v>
      </x:c>
    </x:row>
    <x:row r="126">
      <x:c r="A126" t="str">
        <x:v>PRD-JVS-0125</x:v>
      </x:c>
      <x:c r="B126" t="str">
        <x:v>JVS-0125</x:v>
      </x:c>
      <x:c r="C126" t="str">
        <x:v>Busi Kaki 3 Pendek</x:v>
      </x:c>
      <x:c r="D126" t="str">
        <x:v>Kelistrikan</x:v>
      </x:c>
      <x:c r="E126" t="str"/>
      <x:c r="F126" t="str"/>
      <x:c r="G126" s="12" t="n">
        <x:v>20</x:v>
      </x:c>
      <x:c r="H126" s="12" t="n">
        <x:v>20</x:v>
      </x:c>
      <x:c r="I126" s="12" t="n">
        <x:v>0</x:v>
      </x:c>
      <x:c r="J126" s="16" t="n">
        <x:v>0</x:v>
      </x:c>
      <x:c r="K126" s="14" t="n">
        <x:v>0</x:v>
      </x:c>
      <x:c r="L126" s="14" t="n">
        <x:v>1</x:v>
      </x:c>
      <x:c r="M126" t="str">
        <x:v>OUT OF STOCK</x:v>
      </x:c>
      <x:c r="N126" t="str">
        <x:v>AKTIF</x:v>
      </x:c>
      <x:c r="O126" t="str"/>
      <x:c r="P126" t="str"/>
      <x:c r="Q126" t="str"/>
      <x:c r="R126" t="str"/>
      <x:c r="S126" t="str"/>
      <x:c r="T126" t="str"/>
      <x:c r="U126" s="18" t="n">
        <x:v>46134.041666666664</x:v>
      </x:c>
      <x:c r="V126" t="str">
        <x:v>INITIAL_IMPORT</x:v>
      </x:c>
    </x:row>
    <x:row r="127">
      <x:c r="A127" t="str">
        <x:v>PRD-JVS-0126</x:v>
      </x:c>
      <x:c r="B127" t="str">
        <x:v>JVS-0126</x:v>
      </x:c>
      <x:c r="C127" t="str">
        <x:v>Cangklong selang bensin bagian karbu deksel</x:v>
      </x:c>
      <x:c r="D127" t="str">
        <x:v>Servis</x:v>
      </x:c>
      <x:c r="E127" t="str"/>
      <x:c r="F127" t="str"/>
      <x:c r="G127" s="12" t="n">
        <x:v>18</x:v>
      </x:c>
      <x:c r="H127" s="12" t="n">
        <x:v>18</x:v>
      </x:c>
      <x:c r="I127" s="12" t="n">
        <x:v>0</x:v>
      </x:c>
      <x:c r="J127" s="16" t="n">
        <x:v>0</x:v>
      </x:c>
      <x:c r="K127" s="14" t="n">
        <x:v>4</x:v>
      </x:c>
      <x:c r="L127" s="14" t="n">
        <x:v>1</x:v>
      </x:c>
      <x:c r="M127" t="str">
        <x:v>READY</x:v>
      </x:c>
      <x:c r="N127" t="str">
        <x:v>AKTIF</x:v>
      </x:c>
      <x:c r="O127" t="str"/>
      <x:c r="P127" t="str"/>
      <x:c r="Q127" t="str"/>
      <x:c r="R127" t="str"/>
      <x:c r="S127" t="str"/>
      <x:c r="T127" t="str"/>
      <x:c r="U127" s="18" t="n">
        <x:v>46134.041666666664</x:v>
      </x:c>
      <x:c r="V127" t="str">
        <x:v>INITIAL_IMPORT</x:v>
      </x:c>
    </x:row>
    <x:row r="128">
      <x:c r="A128" t="str">
        <x:v>PRD-JVS-0127</x:v>
      </x:c>
      <x:c r="B128" t="str">
        <x:v>JVS-0127</x:v>
      </x:c>
      <x:c r="C128" t="str">
        <x:v>Cantolan Gantungan Barang Body Vespa Merk Danmotor</x:v>
      </x:c>
      <x:c r="D128" t="str">
        <x:v>Body</x:v>
      </x:c>
      <x:c r="E128" t="str"/>
      <x:c r="F128" t="str"/>
      <x:c r="G128" s="12" t="n">
        <x:v>45</x:v>
      </x:c>
      <x:c r="H128" s="12" t="n">
        <x:v>45</x:v>
      </x:c>
      <x:c r="I128" s="12" t="n">
        <x:v>0</x:v>
      </x:c>
      <x:c r="J128" s="16" t="n">
        <x:v>0</x:v>
      </x:c>
      <x:c r="K128" s="14" t="n">
        <x:v>2</x:v>
      </x:c>
      <x:c r="L128" s="14" t="n">
        <x:v>1</x:v>
      </x:c>
      <x:c r="M128" t="str">
        <x:v>READY</x:v>
      </x:c>
      <x:c r="N128" t="str">
        <x:v>AKTIF</x:v>
      </x:c>
      <x:c r="O128" t="str"/>
      <x:c r="P128" t="str"/>
      <x:c r="Q128" t="str"/>
      <x:c r="R128" t="str"/>
      <x:c r="S128" t="str"/>
      <x:c r="T128" t="str"/>
      <x:c r="U128" s="18" t="n">
        <x:v>46134.041666666664</x:v>
      </x:c>
      <x:c r="V128" t="str">
        <x:v>INITIAL_IMPORT</x:v>
      </x:c>
    </x:row>
    <x:row r="129">
      <x:c r="A129" t="str">
        <x:v>PRD-JVS-0128</x:v>
      </x:c>
      <x:c r="B129" t="str">
        <x:v>JVS-0128</x:v>
      </x:c>
      <x:c r="C129" t="str">
        <x:v>Cantolan Gantungan Barang Body Vespa Merk Vivo</x:v>
      </x:c>
      <x:c r="D129" t="str">
        <x:v>Body</x:v>
      </x:c>
      <x:c r="E129" t="str"/>
      <x:c r="F129" t="str"/>
      <x:c r="G129" s="12" t="n">
        <x:v>25</x:v>
      </x:c>
      <x:c r="H129" s="12" t="n">
        <x:v>25</x:v>
      </x:c>
      <x:c r="I129" s="12" t="n">
        <x:v>0</x:v>
      </x:c>
      <x:c r="J129" s="16" t="n">
        <x:v>0</x:v>
      </x:c>
      <x:c r="K129" s="14" t="n">
        <x:v>1</x:v>
      </x:c>
      <x:c r="L129" s="14" t="n">
        <x:v>1</x:v>
      </x:c>
      <x:c r="M129" t="str">
        <x:v>LOW</x:v>
      </x:c>
      <x:c r="N129" t="str">
        <x:v>AKTIF</x:v>
      </x:c>
      <x:c r="O129" t="str"/>
      <x:c r="P129" t="str"/>
      <x:c r="Q129" t="str"/>
      <x:c r="R129" t="str"/>
      <x:c r="S129" t="str"/>
      <x:c r="T129" t="str"/>
      <x:c r="U129" s="18" t="n">
        <x:v>46134.041666666664</x:v>
      </x:c>
      <x:c r="V129" t="str">
        <x:v>INITIAL_IMPORT</x:v>
      </x:c>
    </x:row>
    <x:row r="130">
      <x:c r="A130" t="str">
        <x:v>PRD-JVS-0129</x:v>
      </x:c>
      <x:c r="B130" t="str">
        <x:v>JVS-0129</x:v>
      </x:c>
      <x:c r="C130" t="str">
        <x:v>Carbu Cleaner</x:v>
      </x:c>
      <x:c r="D130" t="str">
        <x:v>Aksesoris</x:v>
      </x:c>
      <x:c r="E130" t="str"/>
      <x:c r="F130" t="str"/>
      <x:c r="G130" s="12" t="n">
        <x:v>25</x:v>
      </x:c>
      <x:c r="H130" s="12" t="n">
        <x:v>25</x:v>
      </x:c>
      <x:c r="I130" s="12" t="n">
        <x:v>0</x:v>
      </x:c>
      <x:c r="J130" s="16" t="n">
        <x:v>0</x:v>
      </x:c>
      <x:c r="K130" s="14" t="n">
        <x:v>0</x:v>
      </x:c>
      <x:c r="L130" s="14" t="n">
        <x:v>1</x:v>
      </x:c>
      <x:c r="M130" t="str">
        <x:v>OUT OF STOCK</x:v>
      </x:c>
      <x:c r="N130" t="str">
        <x:v>AKTIF</x:v>
      </x:c>
      <x:c r="O130" t="str"/>
      <x:c r="P130" t="str"/>
      <x:c r="Q130" t="str"/>
      <x:c r="R130" t="str"/>
      <x:c r="S130" t="str"/>
      <x:c r="T130" t="str"/>
      <x:c r="U130" s="18" t="n">
        <x:v>46134.041666666664</x:v>
      </x:c>
      <x:c r="V130" t="str">
        <x:v>INITIAL_IMPORT</x:v>
      </x:c>
    </x:row>
    <x:row r="131">
      <x:c r="A131" t="str">
        <x:v>PRD-JVS-0130</x:v>
      </x:c>
      <x:c r="B131" t="str">
        <x:v>JVS-0130</x:v>
      </x:c>
      <x:c r="C131" t="str">
        <x:v>CDI Grand</x:v>
      </x:c>
      <x:c r="D131" t="str">
        <x:v>Kelistrikan</x:v>
      </x:c>
      <x:c r="E131" t="str"/>
      <x:c r="F131" t="str"/>
      <x:c r="G131" s="12" t="n">
        <x:v>25</x:v>
      </x:c>
      <x:c r="H131" s="12" t="n">
        <x:v>25</x:v>
      </x:c>
      <x:c r="I131" s="12" t="n">
        <x:v>0</x:v>
      </x:c>
      <x:c r="J131" s="16" t="n">
        <x:v>0</x:v>
      </x:c>
      <x:c r="K131" s="14" t="n">
        <x:v>2</x:v>
      </x:c>
      <x:c r="L131" s="14" t="n">
        <x:v>1</x:v>
      </x:c>
      <x:c r="M131" t="str">
        <x:v>READY</x:v>
      </x:c>
      <x:c r="N131" t="str">
        <x:v>AKTIF</x:v>
      </x:c>
      <x:c r="O131" t="str"/>
      <x:c r="P131" t="str"/>
      <x:c r="Q131" t="str"/>
      <x:c r="R131" t="str"/>
      <x:c r="S131" t="str"/>
      <x:c r="T131" t="str"/>
      <x:c r="U131" s="18" t="n">
        <x:v>46134.041666666664</x:v>
      </x:c>
      <x:c r="V131" t="str">
        <x:v>INITIAL_IMPORT</x:v>
      </x:c>
    </x:row>
    <x:row r="132">
      <x:c r="A132" t="str">
        <x:v>PRD-JVS-0131</x:v>
      </x:c>
      <x:c r="B132" t="str">
        <x:v>JVS-0131</x:v>
      </x:c>
      <x:c r="C132" t="str">
        <x:v>CDI RC</x:v>
      </x:c>
      <x:c r="D132" t="str">
        <x:v>Kelistrikan</x:v>
      </x:c>
      <x:c r="E132" t="str"/>
      <x:c r="F132" t="str"/>
      <x:c r="G132" s="12" t="n">
        <x:v>25</x:v>
      </x:c>
      <x:c r="H132" s="12" t="n">
        <x:v>25</x:v>
      </x:c>
      <x:c r="I132" s="12" t="n">
        <x:v>0</x:v>
      </x:c>
      <x:c r="J132" s="16" t="n">
        <x:v>0</x:v>
      </x:c>
      <x:c r="K132" s="14" t="n">
        <x:v>2</x:v>
      </x:c>
      <x:c r="L132" s="14" t="n">
        <x:v>1</x:v>
      </x:c>
      <x:c r="M132" t="str">
        <x:v>READY</x:v>
      </x:c>
      <x:c r="N132" t="str">
        <x:v>AKTIF</x:v>
      </x:c>
      <x:c r="O132" t="str"/>
      <x:c r="P132" t="str"/>
      <x:c r="Q132" t="str"/>
      <x:c r="R132" t="str"/>
      <x:c r="S132" t="str"/>
      <x:c r="T132" t="str"/>
      <x:c r="U132" s="18" t="n">
        <x:v>46134.041666666664</x:v>
      </x:c>
      <x:c r="V132" t="str">
        <x:v>INITIAL_IMPORT</x:v>
      </x:c>
    </x:row>
    <x:row r="133">
      <x:c r="A133" t="str">
        <x:v>PRD-JVS-0132</x:v>
      </x:c>
      <x:c r="B133" t="str">
        <x:v>JVS-0132</x:v>
      </x:c>
      <x:c r="C133" t="str">
        <x:v>CDI RX King Lokal</x:v>
      </x:c>
      <x:c r="D133" t="str">
        <x:v>Kelistrikan</x:v>
      </x:c>
      <x:c r="E133" t="str"/>
      <x:c r="F133" t="str"/>
      <x:c r="G133" s="12" t="n">
        <x:v>25</x:v>
      </x:c>
      <x:c r="H133" s="12" t="n">
        <x:v>25</x:v>
      </x:c>
      <x:c r="I133" s="12" t="n">
        <x:v>0</x:v>
      </x:c>
      <x:c r="J133" s="16" t="n">
        <x:v>0</x:v>
      </x:c>
      <x:c r="K133" s="14" t="n">
        <x:v>3</x:v>
      </x:c>
      <x:c r="L133" s="14" t="n">
        <x:v>1</x:v>
      </x:c>
      <x:c r="M133" t="str">
        <x:v>READY</x:v>
      </x:c>
      <x:c r="N133" t="str">
        <x:v>AKTIF</x:v>
      </x:c>
      <x:c r="O133" t="str"/>
      <x:c r="P133" t="str"/>
      <x:c r="Q133" t="str"/>
      <x:c r="R133" t="str"/>
      <x:c r="S133" t="str"/>
      <x:c r="T133" t="str"/>
      <x:c r="U133" s="18" t="n">
        <x:v>46134.041666666664</x:v>
      </x:c>
      <x:c r="V133" t="str">
        <x:v>INITIAL_IMPORT</x:v>
      </x:c>
    </x:row>
    <x:row r="134">
      <x:c r="A134" t="str">
        <x:v>PRD-JVS-0133</x:v>
      </x:c>
      <x:c r="B134" t="str">
        <x:v>JVS-0133</x:v>
      </x:c>
      <x:c r="C134" t="str">
        <x:v>CDI Vespa Excel PXE Import Vitalia Vemsa Taiwan</x:v>
      </x:c>
      <x:c r="D134" t="str">
        <x:v>Kelistrikan</x:v>
      </x:c>
      <x:c r="E134" t="str">
        <x:v>EXCEL, PXE, PX</x:v>
      </x:c>
      <x:c r="F134" t="str"/>
      <x:c r="G134" s="12" t="n">
        <x:v>85</x:v>
      </x:c>
      <x:c r="H134" s="12" t="n">
        <x:v>85</x:v>
      </x:c>
      <x:c r="I134" s="12" t="n">
        <x:v>0</x:v>
      </x:c>
      <x:c r="J134" s="16" t="n">
        <x:v>0</x:v>
      </x:c>
      <x:c r="K134" s="14" t="n">
        <x:v>3</x:v>
      </x:c>
      <x:c r="L134" s="14" t="n">
        <x:v>1</x:v>
      </x:c>
      <x:c r="M134" t="str">
        <x:v>READY</x:v>
      </x:c>
      <x:c r="N134" t="str">
        <x:v>AKTIF</x:v>
      </x:c>
      <x:c r="O134" t="str"/>
      <x:c r="P134" t="str"/>
      <x:c r="Q134" t="str"/>
      <x:c r="R134" t="str"/>
      <x:c r="S134" t="str"/>
      <x:c r="T134" t="str"/>
      <x:c r="U134" s="18" t="n">
        <x:v>46134.041666666664</x:v>
      </x:c>
      <x:c r="V134" t="str">
        <x:v>INITIAL_IMPORT</x:v>
      </x:c>
    </x:row>
    <x:row r="135">
      <x:c r="A135" t="str">
        <x:v>PRD-JVS-0134</x:v>
      </x:c>
      <x:c r="B135" t="str">
        <x:v>JVS-0134</x:v>
      </x:c>
      <x:c r="C135" t="str">
        <x:v>Ceker Ayam Kuncian Bawah Tarikan Kunci Tepong Vespa Super PX PS Bagian Kanan</x:v>
      </x:c>
      <x:c r="D135" t="str">
        <x:v>Body</x:v>
      </x:c>
      <x:c r="E135" t="str">
        <x:v>PX, SUPER, PS</x:v>
      </x:c>
      <x:c r="F135" t="str"/>
      <x:c r="G135" s="12" t="n">
        <x:v>25</x:v>
      </x:c>
      <x:c r="H135" s="12" t="n">
        <x:v>25</x:v>
      </x:c>
      <x:c r="I135" s="12" t="n">
        <x:v>0</x:v>
      </x:c>
      <x:c r="J135" s="16" t="n">
        <x:v>0</x:v>
      </x:c>
      <x:c r="K135" s="14" t="n">
        <x:v>4</x:v>
      </x:c>
      <x:c r="L135" s="14" t="n">
        <x:v>1</x:v>
      </x:c>
      <x:c r="M135" t="str">
        <x:v>READY</x:v>
      </x:c>
      <x:c r="N135" t="str">
        <x:v>AKTIF</x:v>
      </x:c>
      <x:c r="O135" t="str"/>
      <x:c r="P135" t="str"/>
      <x:c r="Q135" t="str"/>
      <x:c r="R135" t="str"/>
      <x:c r="S135" t="str"/>
      <x:c r="T135" t="str"/>
      <x:c r="U135" s="18" t="n">
        <x:v>46134.041666666664</x:v>
      </x:c>
      <x:c r="V135" t="str">
        <x:v>INITIAL_IMPORT</x:v>
      </x:c>
    </x:row>
    <x:row r="136">
      <x:c r="A136" t="str">
        <x:v>PRD-JVS-0135</x:v>
      </x:c>
      <x:c r="B136" t="str">
        <x:v>JVS-0135</x:v>
      </x:c>
      <x:c r="C136" t="str">
        <x:v>Ceker Ayam Kuncian Bawah Tarikan Kunci Tepong Vespa Super PX PS Bagian Kiri</x:v>
      </x:c>
      <x:c r="D136" t="str">
        <x:v>Body</x:v>
      </x:c>
      <x:c r="E136" t="str">
        <x:v>PX, SUPER, PS</x:v>
      </x:c>
      <x:c r="F136" t="str"/>
      <x:c r="G136" s="12" t="n">
        <x:v>25</x:v>
      </x:c>
      <x:c r="H136" s="12" t="n">
        <x:v>25</x:v>
      </x:c>
      <x:c r="I136" s="12" t="n">
        <x:v>0</x:v>
      </x:c>
      <x:c r="J136" s="16" t="n">
        <x:v>0</x:v>
      </x:c>
      <x:c r="K136" s="14" t="n">
        <x:v>2</x:v>
      </x:c>
      <x:c r="L136" s="14" t="n">
        <x:v>1</x:v>
      </x:c>
      <x:c r="M136" t="str">
        <x:v>READY</x:v>
      </x:c>
      <x:c r="N136" t="str">
        <x:v>AKTIF</x:v>
      </x:c>
      <x:c r="O136" t="str"/>
      <x:c r="P136" t="str"/>
      <x:c r="Q136" t="str"/>
      <x:c r="R136" t="str"/>
      <x:c r="S136" t="str"/>
      <x:c r="T136" t="str"/>
      <x:c r="U136" s="18" t="n">
        <x:v>46134.041666666664</x:v>
      </x:c>
      <x:c r="V136" t="str">
        <x:v>INITIAL_IMPORT</x:v>
      </x:c>
    </x:row>
    <x:row r="137">
      <x:c r="A137" t="str">
        <x:v>PRD-JVS-0136</x:v>
      </x:c>
      <x:c r="B137" t="str">
        <x:v>JVS-0136</x:v>
      </x:c>
      <x:c r="C137" t="str">
        <x:v>Cepet Air Vespa Karet All Motif</x:v>
      </x:c>
      <x:c r="D137" t="str">
        <x:v>Servis</x:v>
      </x:c>
      <x:c r="E137" t="str"/>
      <x:c r="F137" t="str"/>
      <x:c r="G137" s="12" t="n">
        <x:v>25</x:v>
      </x:c>
      <x:c r="H137" s="12" t="n">
        <x:v>25</x:v>
      </x:c>
      <x:c r="I137" s="12" t="n">
        <x:v>0</x:v>
      </x:c>
      <x:c r="J137" s="16" t="n">
        <x:v>0</x:v>
      </x:c>
      <x:c r="K137" s="14" t="n">
        <x:v>3</x:v>
      </x:c>
      <x:c r="L137" s="14" t="n">
        <x:v>1</x:v>
      </x:c>
      <x:c r="M137" t="str">
        <x:v>READY</x:v>
      </x:c>
      <x:c r="N137" t="str">
        <x:v>AKTIF</x:v>
      </x:c>
      <x:c r="O137" t="str"/>
      <x:c r="P137" t="str"/>
      <x:c r="Q137" t="str"/>
      <x:c r="R137" t="str"/>
      <x:c r="S137" t="str"/>
      <x:c r="T137" t="str"/>
      <x:c r="U137" s="18" t="n">
        <x:v>46134.041666666664</x:v>
      </x:c>
      <x:c r="V137" t="str">
        <x:v>INITIAL_IMPORT</x:v>
      </x:c>
    </x:row>
    <x:row r="138">
      <x:c r="A138" t="str">
        <x:v>PRD-JVS-0137</x:v>
      </x:c>
      <x:c r="B138" t="str">
        <x:v>JVS-0137</x:v>
      </x:c>
      <x:c r="C138" t="str">
        <x:v>Cones Kunci Kontak Stang PXE Excel Kones</x:v>
      </x:c>
      <x:c r="D138" t="str">
        <x:v>Body</x:v>
      </x:c>
      <x:c r="E138" t="str">
        <x:v>EXCEL, PXE, PX</x:v>
      </x:c>
      <x:c r="F138" t="str"/>
      <x:c r="G138" s="12" t="n">
        <x:v>60</x:v>
      </x:c>
      <x:c r="H138" s="12" t="n">
        <x:v>60</x:v>
      </x:c>
      <x:c r="I138" s="12" t="n">
        <x:v>0</x:v>
      </x:c>
      <x:c r="J138" s="16" t="n">
        <x:v>0</x:v>
      </x:c>
      <x:c r="K138" s="14" t="n">
        <x:v>1</x:v>
      </x:c>
      <x:c r="L138" s="14" t="n">
        <x:v>1</x:v>
      </x:c>
      <x:c r="M138" t="str">
        <x:v>LOW</x:v>
      </x:c>
      <x:c r="N138" t="str">
        <x:v>AKTIF</x:v>
      </x:c>
      <x:c r="O138" t="str"/>
      <x:c r="P138" t="str"/>
      <x:c r="Q138" t="str"/>
      <x:c r="R138" t="str"/>
      <x:c r="S138" t="str"/>
      <x:c r="T138" t="str"/>
      <x:c r="U138" s="18" t="n">
        <x:v>46134.041666666664</x:v>
      </x:c>
      <x:c r="V138" t="str">
        <x:v>INITIAL_IMPORT</x:v>
      </x:c>
    </x:row>
    <x:row r="139">
      <x:c r="A139" t="str">
        <x:v>PRD-JVS-0138</x:v>
      </x:c>
      <x:c r="B139" t="str">
        <x:v>JVS-0138</x:v>
      </x:c>
      <x:c r="C139" t="str">
        <x:v>Cop Busi Cangklong</x:v>
      </x:c>
      <x:c r="D139" t="str">
        <x:v>Kelistrikan</x:v>
      </x:c>
      <x:c r="E139" t="str"/>
      <x:c r="F139" t="str"/>
      <x:c r="G139" s="12" t="n">
        <x:v>18.5</x:v>
      </x:c>
      <x:c r="H139" s="12" t="n">
        <x:v>18.5</x:v>
      </x:c>
      <x:c r="I139" s="12" t="n">
        <x:v>0</x:v>
      </x:c>
      <x:c r="J139" s="16" t="n">
        <x:v>0</x:v>
      </x:c>
      <x:c r="K139" s="14" t="n">
        <x:v>0</x:v>
      </x:c>
      <x:c r="L139" s="14" t="n">
        <x:v>1</x:v>
      </x:c>
      <x:c r="M139" t="str">
        <x:v>OUT OF STOCK</x:v>
      </x:c>
      <x:c r="N139" t="str">
        <x:v>AKTIF</x:v>
      </x:c>
      <x:c r="O139" t="str"/>
      <x:c r="P139" t="str"/>
      <x:c r="Q139" t="str"/>
      <x:c r="R139" t="str"/>
      <x:c r="S139" t="str"/>
      <x:c r="T139" t="str"/>
      <x:c r="U139" s="18" t="n">
        <x:v>46134.041666666664</x:v>
      </x:c>
      <x:c r="V139" t="str">
        <x:v>INITIAL_IMPORT</x:v>
      </x:c>
    </x:row>
    <x:row r="140">
      <x:c r="A140" t="str">
        <x:v>PRD-JVS-0139</x:v>
      </x:c>
      <x:c r="B140" t="str">
        <x:v>JVS-0139</x:v>
      </x:c>
      <x:c r="C140" t="str">
        <x:v>Cover Body vespa Tutup debu hujan vespa Sarung Vespa</x:v>
      </x:c>
      <x:c r="D140" t="str">
        <x:v>Body</x:v>
      </x:c>
      <x:c r="E140" t="str"/>
      <x:c r="F140" t="str"/>
      <x:c r="G140" s="12" t="n">
        <x:v>75</x:v>
      </x:c>
      <x:c r="H140" s="12" t="n">
        <x:v>75</x:v>
      </x:c>
      <x:c r="I140" s="12" t="n">
        <x:v>0</x:v>
      </x:c>
      <x:c r="J140" s="16" t="n">
        <x:v>0</x:v>
      </x:c>
      <x:c r="K140" s="14" t="n">
        <x:v>4</x:v>
      </x:c>
      <x:c r="L140" s="14" t="n">
        <x:v>1</x:v>
      </x:c>
      <x:c r="M140" t="str">
        <x:v>READY</x:v>
      </x:c>
      <x:c r="N140" t="str">
        <x:v>AKTIF</x:v>
      </x:c>
      <x:c r="O140" t="str"/>
      <x:c r="P140" t="str"/>
      <x:c r="Q140" t="str"/>
      <x:c r="R140" t="str"/>
      <x:c r="S140" t="str"/>
      <x:c r="T140" t="str"/>
      <x:c r="U140" s="18" t="n">
        <x:v>46134.041666666664</x:v>
      </x:c>
      <x:c r="V140" t="str">
        <x:v>INITIAL_IMPORT</x:v>
      </x:c>
    </x:row>
    <x:row r="141">
      <x:c r="A141" t="str">
        <x:v>PRD-JVS-0140</x:v>
      </x:c>
      <x:c r="B141" t="str">
        <x:v>JVS-0140</x:v>
      </x:c>
      <x:c r="C141" t="str">
        <x:v>Cover jok panjang Model anti air vespa</x:v>
      </x:c>
      <x:c r="D141" t="str">
        <x:v>Body</x:v>
      </x:c>
      <x:c r="E141" t="str"/>
      <x:c r="F141" t="str"/>
      <x:c r="G141" s="12" t="n">
        <x:v>25</x:v>
      </x:c>
      <x:c r="H141" s="12" t="n">
        <x:v>25</x:v>
      </x:c>
      <x:c r="I141" s="12" t="n">
        <x:v>0</x:v>
      </x:c>
      <x:c r="J141" s="16" t="n">
        <x:v>0</x:v>
      </x:c>
      <x:c r="K141" s="14" t="n">
        <x:v>6</x:v>
      </x:c>
      <x:c r="L141" s="14" t="n">
        <x:v>1</x:v>
      </x:c>
      <x:c r="M141" t="str">
        <x:v>READY</x:v>
      </x:c>
      <x:c r="N141" t="str">
        <x:v>AKTIF</x:v>
      </x:c>
      <x:c r="O141" t="str"/>
      <x:c r="P141" t="str"/>
      <x:c r="Q141" t="str"/>
      <x:c r="R141" t="str"/>
      <x:c r="S141" t="str"/>
      <x:c r="T141" t="str"/>
      <x:c r="U141" s="18" t="n">
        <x:v>46134.041666666664</x:v>
      </x:c>
      <x:c r="V141" t="str">
        <x:v>INITIAL_IMPORT</x:v>
      </x:c>
    </x:row>
    <x:row r="142">
      <x:c r="A142" t="str">
        <x:v>PRD-JVS-0141</x:v>
      </x:c>
      <x:c r="B142" t="str">
        <x:v>JVS-0141</x:v>
      </x:c>
      <x:c r="C142" t="str">
        <x:v>Cylinder Head Vespa Excel Import</x:v>
      </x:c>
      <x:c r="D142" t="str">
        <x:v>Mesin</x:v>
      </x:c>
      <x:c r="E142" t="str">
        <x:v>EXCEL</x:v>
      </x:c>
      <x:c r="F142" t="str"/>
      <x:c r="G142" s="12" t="n">
        <x:v>215</x:v>
      </x:c>
      <x:c r="H142" s="12" t="n">
        <x:v>215</x:v>
      </x:c>
      <x:c r="I142" s="12" t="n">
        <x:v>0</x:v>
      </x:c>
      <x:c r="J142" s="16" t="n">
        <x:v>0</x:v>
      </x:c>
      <x:c r="K142" s="14" t="n">
        <x:v>1</x:v>
      </x:c>
      <x:c r="L142" s="14" t="n">
        <x:v>1</x:v>
      </x:c>
      <x:c r="M142" t="str">
        <x:v>LOW</x:v>
      </x:c>
      <x:c r="N142" t="str">
        <x:v>AKTIF</x:v>
      </x:c>
      <x:c r="O142" t="str"/>
      <x:c r="P142" t="str"/>
      <x:c r="Q142" t="str"/>
      <x:c r="R142" t="str"/>
      <x:c r="S142" t="str"/>
      <x:c r="T142" t="str"/>
      <x:c r="U142" s="18" t="n">
        <x:v>46134.041666666664</x:v>
      </x:c>
      <x:c r="V142" t="str">
        <x:v>INITIAL_IMPORT</x:v>
      </x:c>
    </x:row>
    <x:row r="143">
      <x:c r="A143" t="str">
        <x:v>PRD-JVS-0142</x:v>
      </x:c>
      <x:c r="B143" t="str">
        <x:v>JVS-0142</x:v>
      </x:c>
      <x:c r="C143" t="str">
        <x:v>Cylinder Head Vespa PX Super</x:v>
      </x:c>
      <x:c r="D143" t="str">
        <x:v>Mesin</x:v>
      </x:c>
      <x:c r="E143" t="str">
        <x:v>PX, SUPER</x:v>
      </x:c>
      <x:c r="F143" t="str"/>
      <x:c r="G143" s="12" t="n">
        <x:v>180</x:v>
      </x:c>
      <x:c r="H143" s="12" t="n">
        <x:v>180</x:v>
      </x:c>
      <x:c r="I143" s="12" t="n">
        <x:v>0</x:v>
      </x:c>
      <x:c r="J143" s="16" t="n">
        <x:v>0</x:v>
      </x:c>
      <x:c r="K143" s="14" t="n">
        <x:v>1</x:v>
      </x:c>
      <x:c r="L143" s="14" t="n">
        <x:v>1</x:v>
      </x:c>
      <x:c r="M143" t="str">
        <x:v>LOW</x:v>
      </x:c>
      <x:c r="N143" t="str">
        <x:v>AKTIF</x:v>
      </x:c>
      <x:c r="O143" t="str"/>
      <x:c r="P143" t="str"/>
      <x:c r="Q143" t="str"/>
      <x:c r="R143" t="str"/>
      <x:c r="S143" t="str"/>
      <x:c r="T143" t="str"/>
      <x:c r="U143" s="18" t="n">
        <x:v>46134.041666666664</x:v>
      </x:c>
      <x:c r="V143" t="str">
        <x:v>INITIAL_IMPORT</x:v>
      </x:c>
    </x:row>
    <x:row r="144">
      <x:c r="A144" t="str">
        <x:v>PRD-JVS-0143</x:v>
      </x:c>
      <x:c r="B144" t="str">
        <x:v>JVS-0143</x:v>
      </x:c>
      <x:c r="C144" t="str">
        <x:v>Dasi Hidung Vespa new px grill hitam</x:v>
      </x:c>
      <x:c r="D144" t="str">
        <x:v>Body</x:v>
      </x:c>
      <x:c r="E144" t="str">
        <x:v>PX</x:v>
      </x:c>
      <x:c r="F144" t="str"/>
      <x:c r="G144" s="12" t="n">
        <x:v>125</x:v>
      </x:c>
      <x:c r="H144" s="12" t="n">
        <x:v>125</x:v>
      </x:c>
      <x:c r="I144" s="12" t="n">
        <x:v>0</x:v>
      </x:c>
      <x:c r="J144" s="16" t="n">
        <x:v>0</x:v>
      </x:c>
      <x:c r="K144" s="14" t="n">
        <x:v>1</x:v>
      </x:c>
      <x:c r="L144" s="14" t="n">
        <x:v>1</x:v>
      </x:c>
      <x:c r="M144" t="str">
        <x:v>LOW</x:v>
      </x:c>
      <x:c r="N144" t="str">
        <x:v>AKTIF</x:v>
      </x:c>
      <x:c r="O144" t="str"/>
      <x:c r="P144" t="str"/>
      <x:c r="Q144" t="str"/>
      <x:c r="R144" t="str"/>
      <x:c r="S144" t="str"/>
      <x:c r="T144" t="str"/>
      <x:c r="U144" s="18" t="n">
        <x:v>46134.041666666664</x:v>
      </x:c>
      <x:c r="V144" t="str">
        <x:v>INITIAL_IMPORT</x:v>
      </x:c>
    </x:row>
    <x:row r="145">
      <x:c r="A145" t="str">
        <x:v>PRD-JVS-0144</x:v>
      </x:c>
      <x:c r="B145" t="str">
        <x:v>JVS-0144</x:v>
      </x:c>
      <x:c r="C145" t="str">
        <x:v>Dasi Hidung Vespa PX Danmotor</x:v>
      </x:c>
      <x:c r="D145" t="str">
        <x:v>Body</x:v>
      </x:c>
      <x:c r="E145" t="str">
        <x:v>PX</x:v>
      </x:c>
      <x:c r="F145" t="str"/>
      <x:c r="G145" s="12" t="n">
        <x:v>90</x:v>
      </x:c>
      <x:c r="H145" s="12" t="n">
        <x:v>90</x:v>
      </x:c>
      <x:c r="I145" s="12" t="n">
        <x:v>0</x:v>
      </x:c>
      <x:c r="J145" s="16" t="n">
        <x:v>0</x:v>
      </x:c>
      <x:c r="K145" s="14" t="n">
        <x:v>1</x:v>
      </x:c>
      <x:c r="L145" s="14" t="n">
        <x:v>1</x:v>
      </x:c>
      <x:c r="M145" t="str">
        <x:v>LOW</x:v>
      </x:c>
      <x:c r="N145" t="str">
        <x:v>AKTIF</x:v>
      </x:c>
      <x:c r="O145" t="str"/>
      <x:c r="P145" t="str"/>
      <x:c r="Q145" t="str"/>
      <x:c r="R145" t="str"/>
      <x:c r="S145" t="str"/>
      <x:c r="T145" t="str"/>
      <x:c r="U145" s="18" t="n">
        <x:v>46134.041666666664</x:v>
      </x:c>
      <x:c r="V145" t="str">
        <x:v>INITIAL_IMPORT</x:v>
      </x:c>
    </x:row>
    <x:row r="146">
      <x:c r="A146" t="str">
        <x:v>PRD-JVS-0145</x:v>
      </x:c>
      <x:c r="B146" t="str">
        <x:v>JVS-0145</x:v>
      </x:c>
      <x:c r="C146" t="str">
        <x:v>Deksel Vespa Honeng</x:v>
      </x:c>
      <x:c r="D146" t="str">
        <x:v>Aksesoris</x:v>
      </x:c>
      <x:c r="E146" t="str"/>
      <x:c r="F146" t="str"/>
      <x:c r="G146" s="12" t="n">
        <x:v>60</x:v>
      </x:c>
      <x:c r="H146" s="12" t="n">
        <x:v>60</x:v>
      </x:c>
      <x:c r="I146" s="12" t="n">
        <x:v>0</x:v>
      </x:c>
      <x:c r="J146" s="16" t="n">
        <x:v>0</x:v>
      </x:c>
      <x:c r="K146" s="14" t="n">
        <x:v>2</x:v>
      </x:c>
      <x:c r="L146" s="14" t="n">
        <x:v>1</x:v>
      </x:c>
      <x:c r="M146" t="str">
        <x:v>READY</x:v>
      </x:c>
      <x:c r="N146" t="str">
        <x:v>AKTIF</x:v>
      </x:c>
      <x:c r="O146" t="str"/>
      <x:c r="P146" t="str"/>
      <x:c r="Q146" t="str"/>
      <x:c r="R146" t="str"/>
      <x:c r="S146" t="str"/>
      <x:c r="T146" t="str"/>
      <x:c r="U146" s="18" t="n">
        <x:v>46134.041666666664</x:v>
      </x:c>
      <x:c r="V146" t="str">
        <x:v>INITIAL_IMPORT</x:v>
      </x:c>
    </x:row>
    <x:row r="147">
      <x:c r="A147" t="str">
        <x:v>PRD-JVS-0146</x:v>
      </x:c>
      <x:c r="B147" t="str">
        <x:v>JVS-0146</x:v>
      </x:c>
      <x:c r="C147" t="str">
        <x:v>Dop Pentil Tubeles Bengkok Vespa</x:v>
      </x:c>
      <x:c r="D147" t="str">
        <x:v>Aksesoris</x:v>
      </x:c>
      <x:c r="E147" t="str"/>
      <x:c r="F147" t="str"/>
      <x:c r="G147" s="12" t="str"/>
      <x:c r="H147" s="12" t="str"/>
      <x:c r="I147" s="12" t="str"/>
      <x:c r="J147" s="16" t="str"/>
      <x:c r="K147" s="14" t="n">
        <x:v>0</x:v>
      </x:c>
      <x:c r="L147" s="14" t="n">
        <x:v>1</x:v>
      </x:c>
      <x:c r="M147" t="str">
        <x:v>OUT OF STOCK</x:v>
      </x:c>
      <x:c r="N147" t="str">
        <x:v>AKTIF</x:v>
      </x:c>
      <x:c r="O147" t="str"/>
      <x:c r="P147" t="str"/>
      <x:c r="Q147" t="str"/>
      <x:c r="R147" t="str"/>
      <x:c r="S147" t="str"/>
      <x:c r="T147" t="str"/>
      <x:c r="U147" s="18" t="n">
        <x:v>46134.041666666664</x:v>
      </x:c>
      <x:c r="V147" t="str">
        <x:v>INITIAL_IMPORT</x:v>
      </x:c>
    </x:row>
    <x:row r="148">
      <x:c r="A148" t="str">
        <x:v>PRD-JVS-0147</x:v>
      </x:c>
      <x:c r="B148" t="str">
        <x:v>JVS-0147</x:v>
      </x:c>
      <x:c r="C148" t="str">
        <x:v>Drek Kopling Bagian Angka 9</x:v>
      </x:c>
      <x:c r="D148" t="str">
        <x:v>Mesin</x:v>
      </x:c>
      <x:c r="E148" t="str"/>
      <x:c r="F148" t="str"/>
      <x:c r="G148" s="12" t="n">
        <x:v>15</x:v>
      </x:c>
      <x:c r="H148" s="12" t="n">
        <x:v>15</x:v>
      </x:c>
      <x:c r="I148" s="12" t="n">
        <x:v>0</x:v>
      </x:c>
      <x:c r="J148" s="16" t="n">
        <x:v>0</x:v>
      </x:c>
      <x:c r="K148" s="14" t="n">
        <x:v>13</x:v>
      </x:c>
      <x:c r="L148" s="14" t="n">
        <x:v>1</x:v>
      </x:c>
      <x:c r="M148" t="str">
        <x:v>READY</x:v>
      </x:c>
      <x:c r="N148" t="str">
        <x:v>AKTIF</x:v>
      </x:c>
      <x:c r="O148" t="str"/>
      <x:c r="P148" t="str"/>
      <x:c r="Q148" t="str"/>
      <x:c r="R148" t="str"/>
      <x:c r="S148" t="str"/>
      <x:c r="T148" t="str"/>
      <x:c r="U148" s="18" t="n">
        <x:v>46134.041666666664</x:v>
      </x:c>
      <x:c r="V148" t="str">
        <x:v>INITIAL_IMPORT</x:v>
      </x:c>
    </x:row>
    <x:row r="149">
      <x:c r="A149" t="str">
        <x:v>PRD-JVS-0148</x:v>
      </x:c>
      <x:c r="B149" t="str">
        <x:v>JVS-0148</x:v>
      </x:c>
      <x:c r="C149" t="str">
        <x:v>Dudukan aki vespa EXCEL Biasa</x:v>
      </x:c>
      <x:c r="D149" t="str">
        <x:v>Aksesoris</x:v>
      </x:c>
      <x:c r="E149" t="str">
        <x:v>EXCEL</x:v>
      </x:c>
      <x:c r="F149" t="str"/>
      <x:c r="G149" s="12" t="n">
        <x:v>75</x:v>
      </x:c>
      <x:c r="H149" s="12" t="n">
        <x:v>75</x:v>
      </x:c>
      <x:c r="I149" s="12" t="n">
        <x:v>0</x:v>
      </x:c>
      <x:c r="J149" s="16" t="n">
        <x:v>0</x:v>
      </x:c>
      <x:c r="K149" s="14" t="n">
        <x:v>0</x:v>
      </x:c>
      <x:c r="L149" s="14" t="n">
        <x:v>1</x:v>
      </x:c>
      <x:c r="M149" t="str">
        <x:v>OUT OF STOCK</x:v>
      </x:c>
      <x:c r="N149" t="str">
        <x:v>AKTIF</x:v>
      </x:c>
      <x:c r="O149" t="str"/>
      <x:c r="P149" t="str"/>
      <x:c r="Q149" t="str"/>
      <x:c r="R149" t="str"/>
      <x:c r="S149" t="str"/>
      <x:c r="T149" t="str"/>
      <x:c r="U149" s="18" t="n">
        <x:v>46134.041666666664</x:v>
      </x:c>
      <x:c r="V149" t="str">
        <x:v>INITIAL_IMPORT</x:v>
      </x:c>
    </x:row>
    <x:row r="150">
      <x:c r="A150" t="str">
        <x:v>PRD-JVS-0149</x:v>
      </x:c>
      <x:c r="B150" t="str">
        <x:v>JVS-0149</x:v>
      </x:c>
      <x:c r="C150" t="str">
        <x:v>Dudukan cdi model BGM</x:v>
      </x:c>
      <x:c r="D150" t="str">
        <x:v>Kelistrikan</x:v>
      </x:c>
      <x:c r="E150" t="str"/>
      <x:c r="F150" t="str"/>
      <x:c r="G150" s="12" t="str"/>
      <x:c r="H150" s="12" t="str"/>
      <x:c r="I150" s="12" t="str"/>
      <x:c r="J150" s="16" t="str"/>
      <x:c r="K150" s="14" t="n">
        <x:v>1</x:v>
      </x:c>
      <x:c r="L150" s="14" t="n">
        <x:v>1</x:v>
      </x:c>
      <x:c r="M150" t="str">
        <x:v>LOW</x:v>
      </x:c>
      <x:c r="N150" t="str">
        <x:v>AKTIF</x:v>
      </x:c>
      <x:c r="O150" t="str"/>
      <x:c r="P150" t="str"/>
      <x:c r="Q150" t="str"/>
      <x:c r="R150" t="str"/>
      <x:c r="S150" t="str"/>
      <x:c r="T150" t="str"/>
      <x:c r="U150" s="18" t="n">
        <x:v>46134.041666666664</x:v>
      </x:c>
      <x:c r="V150" t="str">
        <x:v>INITIAL_IMPORT</x:v>
      </x:c>
    </x:row>
    <x:row r="151">
      <x:c r="A151" t="str">
        <x:v>PRD-JVS-0150</x:v>
      </x:c>
      <x:c r="B151" t="str">
        <x:v>JVS-0150</x:v>
      </x:c>
      <x:c r="C151" t="str">
        <x:v>Dudukan Plat nomor depan vespa Excel</x:v>
      </x:c>
      <x:c r="D151" t="str">
        <x:v>Aksesoris</x:v>
      </x:c>
      <x:c r="E151" t="str">
        <x:v>EXCEL</x:v>
      </x:c>
      <x:c r="F151" t="str"/>
      <x:c r="G151" s="12" t="str"/>
      <x:c r="H151" s="12" t="str"/>
      <x:c r="I151" s="12" t="str"/>
      <x:c r="J151" s="16" t="str"/>
      <x:c r="K151" s="14" t="n">
        <x:v>1</x:v>
      </x:c>
      <x:c r="L151" s="14" t="n">
        <x:v>1</x:v>
      </x:c>
      <x:c r="M151" t="str">
        <x:v>LOW</x:v>
      </x:c>
      <x:c r="N151" t="str">
        <x:v>AKTIF</x:v>
      </x:c>
      <x:c r="O151" t="str"/>
      <x:c r="P151" t="str"/>
      <x:c r="Q151" t="str"/>
      <x:c r="R151" t="str"/>
      <x:c r="S151" t="str"/>
      <x:c r="T151" t="str"/>
      <x:c r="U151" s="18" t="n">
        <x:v>46134.041666666664</x:v>
      </x:c>
      <x:c r="V151" t="str">
        <x:v>INITIAL_IMPORT</x:v>
      </x:c>
    </x:row>
    <x:row r="152">
      <x:c r="A152" t="str">
        <x:v>PRD-JVS-0151</x:v>
      </x:c>
      <x:c r="B152" t="str">
        <x:v>JVS-0151</x:v>
      </x:c>
      <x:c r="C152" t="str">
        <x:v>Dudukan Plat nomor depan vespa PX PS Strada</x:v>
      </x:c>
      <x:c r="D152" t="str">
        <x:v>Aksesoris</x:v>
      </x:c>
      <x:c r="E152" t="str">
        <x:v>PX, PS, STRADA</x:v>
      </x:c>
      <x:c r="F152" t="str"/>
      <x:c r="G152" s="12" t="n">
        <x:v>30</x:v>
      </x:c>
      <x:c r="H152" s="12" t="n">
        <x:v>30</x:v>
      </x:c>
      <x:c r="I152" s="12" t="n">
        <x:v>0</x:v>
      </x:c>
      <x:c r="J152" s="16" t="n">
        <x:v>0</x:v>
      </x:c>
      <x:c r="K152" s="14" t="n">
        <x:v>1</x:v>
      </x:c>
      <x:c r="L152" s="14" t="n">
        <x:v>1</x:v>
      </x:c>
      <x:c r="M152" t="str">
        <x:v>LOW</x:v>
      </x:c>
      <x:c r="N152" t="str">
        <x:v>AKTIF</x:v>
      </x:c>
      <x:c r="O152" t="str"/>
      <x:c r="P152" t="str"/>
      <x:c r="Q152" t="str"/>
      <x:c r="R152" t="str"/>
      <x:c r="S152" t="str"/>
      <x:c r="T152" t="str"/>
      <x:c r="U152" s="18" t="n">
        <x:v>46134.041666666664</x:v>
      </x:c>
      <x:c r="V152" t="str">
        <x:v>INITIAL_IMPORT</x:v>
      </x:c>
    </x:row>
    <x:row r="153">
      <x:c r="A153" t="str">
        <x:v>PRD-JVS-0152</x:v>
      </x:c>
      <x:c r="B153" t="str">
        <x:v>JVS-0152</x:v>
      </x:c>
      <x:c r="C153" t="str">
        <x:v>Dudukan Shockbreaker Depan Atas Vespa PXE EXCEL PX Danmotor</x:v>
      </x:c>
      <x:c r="D153" t="str">
        <x:v>Kaki-Kaki</x:v>
      </x:c>
      <x:c r="E153" t="str">
        <x:v>EXCEL, PXE, PX</x:v>
      </x:c>
      <x:c r="F153" t="str"/>
      <x:c r="G153" s="12" t="n">
        <x:v>48</x:v>
      </x:c>
      <x:c r="H153" s="12" t="n">
        <x:v>48</x:v>
      </x:c>
      <x:c r="I153" s="12" t="n">
        <x:v>0</x:v>
      </x:c>
      <x:c r="J153" s="16" t="n">
        <x:v>0</x:v>
      </x:c>
      <x:c r="K153" s="14" t="n">
        <x:v>1</x:v>
      </x:c>
      <x:c r="L153" s="14" t="n">
        <x:v>1</x:v>
      </x:c>
      <x:c r="M153" t="str">
        <x:v>LOW</x:v>
      </x:c>
      <x:c r="N153" t="str">
        <x:v>AKTIF</x:v>
      </x:c>
      <x:c r="O153" t="str"/>
      <x:c r="P153" t="str"/>
      <x:c r="Q153" t="str"/>
      <x:c r="R153" t="str"/>
      <x:c r="S153" t="str"/>
      <x:c r="T153" t="str"/>
      <x:c r="U153" s="18" t="n">
        <x:v>46134.041666666664</x:v>
      </x:c>
      <x:c r="V153" t="str">
        <x:v>INITIAL_IMPORT</x:v>
      </x:c>
    </x:row>
    <x:row r="154">
      <x:c r="A154" t="str">
        <x:v>PRD-JVS-0153</x:v>
      </x:c>
      <x:c r="B154" t="str">
        <x:v>JVS-0153</x:v>
      </x:c>
      <x:c r="C154" t="str">
        <x:v>Dudukan Spion depan vespa excel Set</x:v>
      </x:c>
      <x:c r="D154" t="str">
        <x:v>Body</x:v>
      </x:c>
      <x:c r="E154" t="str">
        <x:v>EXCEL</x:v>
      </x:c>
      <x:c r="F154" t="str"/>
      <x:c r="G154" s="12" t="n">
        <x:v>35</x:v>
      </x:c>
      <x:c r="H154" s="12" t="n">
        <x:v>35</x:v>
      </x:c>
      <x:c r="I154" s="12" t="n">
        <x:v>0</x:v>
      </x:c>
      <x:c r="J154" s="16" t="n">
        <x:v>0</x:v>
      </x:c>
      <x:c r="K154" s="14" t="n">
        <x:v>1</x:v>
      </x:c>
      <x:c r="L154" s="14" t="n">
        <x:v>1</x:v>
      </x:c>
      <x:c r="M154" t="str">
        <x:v>LOW</x:v>
      </x:c>
      <x:c r="N154" t="str">
        <x:v>AKTIF</x:v>
      </x:c>
      <x:c r="O154" t="str"/>
      <x:c r="P154" t="str"/>
      <x:c r="Q154" t="str"/>
      <x:c r="R154" t="str"/>
      <x:c r="S154" t="str"/>
      <x:c r="T154" t="str"/>
      <x:c r="U154" s="18" t="n">
        <x:v>46134.041666666664</x:v>
      </x:c>
      <x:c r="V154" t="str">
        <x:v>INITIAL_IMPORT</x:v>
      </x:c>
    </x:row>
    <x:row r="155">
      <x:c r="A155" t="str">
        <x:v>PRD-JVS-0154</x:v>
      </x:c>
      <x:c r="B155" t="str">
        <x:v>JVS-0154</x:v>
      </x:c>
      <x:c r="C155" t="str">
        <x:v>Dudukan Spion Set Model Italy Super Sprint</x:v>
      </x:c>
      <x:c r="D155" t="str">
        <x:v>Body</x:v>
      </x:c>
      <x:c r="E155" t="str">
        <x:v>SUPER, SPRINT</x:v>
      </x:c>
      <x:c r="F155" t="str"/>
      <x:c r="G155" s="12" t="n">
        <x:v>38</x:v>
      </x:c>
      <x:c r="H155" s="12" t="n">
        <x:v>38</x:v>
      </x:c>
      <x:c r="I155" s="12" t="n">
        <x:v>0</x:v>
      </x:c>
      <x:c r="J155" s="16" t="n">
        <x:v>0</x:v>
      </x:c>
      <x:c r="K155" s="14" t="n">
        <x:v>4</x:v>
      </x:c>
      <x:c r="L155" s="14" t="n">
        <x:v>1</x:v>
      </x:c>
      <x:c r="M155" t="str">
        <x:v>READY</x:v>
      </x:c>
      <x:c r="N155" t="str">
        <x:v>AKTIF</x:v>
      </x:c>
      <x:c r="O155" t="str"/>
      <x:c r="P155" t="str"/>
      <x:c r="Q155" t="str"/>
      <x:c r="R155" t="str"/>
      <x:c r="S155" t="str"/>
      <x:c r="T155" t="str"/>
      <x:c r="U155" s="18" t="n">
        <x:v>46134.041666666664</x:v>
      </x:c>
      <x:c r="V155" t="str">
        <x:v>INITIAL_IMPORT</x:v>
      </x:c>
    </x:row>
    <x:row r="156">
      <x:c r="A156" t="str">
        <x:v>PRD-JVS-0155</x:v>
      </x:c>
      <x:c r="B156" t="str">
        <x:v>JVS-0155</x:v>
      </x:c>
      <x:c r="C156" t="str">
        <x:v>Dudukan Wheeldop Kaki 3 Ring 10</x:v>
      </x:c>
      <x:c r="D156" t="str">
        <x:v>Servis</x:v>
      </x:c>
      <x:c r="E156" t="str"/>
      <x:c r="F156" t="str"/>
      <x:c r="G156" s="12" t="n">
        <x:v>20</x:v>
      </x:c>
      <x:c r="H156" s="12" t="n">
        <x:v>20</x:v>
      </x:c>
      <x:c r="I156" s="12" t="n">
        <x:v>0</x:v>
      </x:c>
      <x:c r="J156" s="16" t="n">
        <x:v>0</x:v>
      </x:c>
      <x:c r="K156" s="14" t="n">
        <x:v>4</x:v>
      </x:c>
      <x:c r="L156" s="14" t="n">
        <x:v>1</x:v>
      </x:c>
      <x:c r="M156" t="str">
        <x:v>READY</x:v>
      </x:c>
      <x:c r="N156" t="str">
        <x:v>AKTIF</x:v>
      </x:c>
      <x:c r="O156" t="str"/>
      <x:c r="P156" t="str"/>
      <x:c r="Q156" t="str"/>
      <x:c r="R156" t="str"/>
      <x:c r="S156" t="str"/>
      <x:c r="T156" t="str"/>
      <x:c r="U156" s="18" t="n">
        <x:v>46134.041666666664</x:v>
      </x:c>
      <x:c r="V156" t="str">
        <x:v>INITIAL_IMPORT</x:v>
      </x:c>
    </x:row>
    <x:row r="157">
      <x:c r="A157" t="str">
        <x:v>PRD-JVS-0156</x:v>
      </x:c>
      <x:c r="B157" t="str">
        <x:v>JVS-0156</x:v>
      </x:c>
      <x:c r="C157" t="str">
        <x:v>Emblem belakang vespa super 150 78 alumunium</x:v>
      </x:c>
      <x:c r="D157" t="str">
        <x:v>Body</x:v>
      </x:c>
      <x:c r="E157" t="str">
        <x:v>SUPER</x:v>
      </x:c>
      <x:c r="F157" t="str"/>
      <x:c r="G157" s="12" t="n">
        <x:v>75</x:v>
      </x:c>
      <x:c r="H157" s="12" t="n">
        <x:v>75</x:v>
      </x:c>
      <x:c r="I157" s="12" t="n">
        <x:v>0</x:v>
      </x:c>
      <x:c r="J157" s="16" t="n">
        <x:v>0</x:v>
      </x:c>
      <x:c r="K157" s="14" t="n">
        <x:v>2</x:v>
      </x:c>
      <x:c r="L157" s="14" t="n">
        <x:v>1</x:v>
      </x:c>
      <x:c r="M157" t="str">
        <x:v>READY</x:v>
      </x:c>
      <x:c r="N157" t="str">
        <x:v>AKTIF</x:v>
      </x:c>
      <x:c r="O157" t="str"/>
      <x:c r="P157" t="str"/>
      <x:c r="Q157" t="str"/>
      <x:c r="R157" t="str"/>
      <x:c r="S157" t="str"/>
      <x:c r="T157" t="str"/>
      <x:c r="U157" s="18" t="n">
        <x:v>46134.041666666664</x:v>
      </x:c>
      <x:c r="V157" t="str">
        <x:v>INITIAL_IMPORT</x:v>
      </x:c>
    </x:row>
    <x:row r="158">
      <x:c r="A158" t="str">
        <x:v>PRD-JVS-0157</x:v>
      </x:c>
      <x:c r="B158" t="str">
        <x:v>JVS-0157</x:v>
      </x:c>
      <x:c r="C158" t="str">
        <x:v>Emblem Chung Dasi Vespa Excel Danmotor</x:v>
      </x:c>
      <x:c r="D158" t="str">
        <x:v>Body</x:v>
      </x:c>
      <x:c r="E158" t="str">
        <x:v>EXCEL</x:v>
      </x:c>
      <x:c r="F158" t="str"/>
      <x:c r="G158" s="12" t="n">
        <x:v>35</x:v>
      </x:c>
      <x:c r="H158" s="12" t="n">
        <x:v>35</x:v>
      </x:c>
      <x:c r="I158" s="12" t="n">
        <x:v>0</x:v>
      </x:c>
      <x:c r="J158" s="16" t="n">
        <x:v>0</x:v>
      </x:c>
      <x:c r="K158" s="14" t="n">
        <x:v>1</x:v>
      </x:c>
      <x:c r="L158" s="14" t="n">
        <x:v>1</x:v>
      </x:c>
      <x:c r="M158" t="str">
        <x:v>LOW</x:v>
      </x:c>
      <x:c r="N158" t="str">
        <x:v>AKTIF</x:v>
      </x:c>
      <x:c r="O158" t="str"/>
      <x:c r="P158" t="str"/>
      <x:c r="Q158" t="str"/>
      <x:c r="R158" t="str"/>
      <x:c r="S158" t="str"/>
      <x:c r="T158" t="str"/>
      <x:c r="U158" s="18" t="n">
        <x:v>46134.041666666664</x:v>
      </x:c>
      <x:c r="V158" t="str">
        <x:v>INITIAL_IMPORT</x:v>
      </x:c>
    </x:row>
    <x:row r="159">
      <x:c r="A159" t="str">
        <x:v>PRD-JVS-0158</x:v>
      </x:c>
      <x:c r="B159" t="str">
        <x:v>JVS-0158</x:v>
      </x:c>
      <x:c r="C159" t="str">
        <x:v>Emblem Chung Besar Dasi Vespa Super Sprint Karet</x:v>
      </x:c>
      <x:c r="D159" t="str">
        <x:v>Body</x:v>
      </x:c>
      <x:c r="E159" t="str">
        <x:v>SUPER, SPRINT</x:v>
      </x:c>
      <x:c r="F159" t="str"/>
      <x:c r="G159" s="12" t="str"/>
      <x:c r="H159" s="12" t="str"/>
      <x:c r="I159" s="12" t="str"/>
      <x:c r="J159" s="16" t="str"/>
      <x:c r="K159" s="14" t="n">
        <x:v>4</x:v>
      </x:c>
      <x:c r="L159" s="14" t="n">
        <x:v>1</x:v>
      </x:c>
      <x:c r="M159" t="str">
        <x:v>READY</x:v>
      </x:c>
      <x:c r="N159" t="str">
        <x:v>AKTIF</x:v>
      </x:c>
      <x:c r="O159" t="str"/>
      <x:c r="P159" t="str"/>
      <x:c r="Q159" t="str"/>
      <x:c r="R159" t="str"/>
      <x:c r="S159" t="str"/>
      <x:c r="T159" t="str"/>
      <x:c r="U159" s="18" t="n">
        <x:v>46134.041666666664</x:v>
      </x:c>
      <x:c r="V159" t="str">
        <x:v>INITIAL_IMPORT</x:v>
      </x:c>
    </x:row>
    <x:row r="160">
      <x:c r="A160" t="str">
        <x:v>PRD-JVS-0159</x:v>
      </x:c>
      <x:c r="B160" t="str">
        <x:v>JVS-0159</x:v>
      </x:c>
      <x:c r="C160" t="str">
        <x:v>Emblem Chung Sedang Stang Vespa Super Sprint Karet</x:v>
      </x:c>
      <x:c r="D160" t="str">
        <x:v>Body</x:v>
      </x:c>
      <x:c r="E160" t="str">
        <x:v>SUPER, SPRINT</x:v>
      </x:c>
      <x:c r="F160" t="str"/>
      <x:c r="G160" s="12" t="n">
        <x:v>12</x:v>
      </x:c>
      <x:c r="H160" s="12" t="n">
        <x:v>12</x:v>
      </x:c>
      <x:c r="I160" s="12" t="n">
        <x:v>0</x:v>
      </x:c>
      <x:c r="J160" s="16" t="n">
        <x:v>0</x:v>
      </x:c>
      <x:c r="K160" s="14" t="n">
        <x:v>2</x:v>
      </x:c>
      <x:c r="L160" s="14" t="n">
        <x:v>1</x:v>
      </x:c>
      <x:c r="M160" t="str">
        <x:v>READY</x:v>
      </x:c>
      <x:c r="N160" t="str">
        <x:v>AKTIF</x:v>
      </x:c>
      <x:c r="O160" t="str"/>
      <x:c r="P160" t="str"/>
      <x:c r="Q160" t="str"/>
      <x:c r="R160" t="str"/>
      <x:c r="S160" t="str"/>
      <x:c r="T160" t="str"/>
      <x:c r="U160" s="18" t="n">
        <x:v>46134.041666666664</x:v>
      </x:c>
      <x:c r="V160" t="str">
        <x:v>INITIAL_IMPORT</x:v>
      </x:c>
    </x:row>
    <x:row r="161">
      <x:c r="A161" t="str">
        <x:v>PRD-JVS-0160</x:v>
      </x:c>
      <x:c r="B161" t="str">
        <x:v>JVS-0160</x:v>
      </x:c>
      <x:c r="C161" t="str">
        <x:v>Emblem Chung Kecil Dasi Vespa PX PS</x:v>
      </x:c>
      <x:c r="D161" t="str">
        <x:v>Body</x:v>
      </x:c>
      <x:c r="E161" t="str">
        <x:v>PX, PS</x:v>
      </x:c>
      <x:c r="F161" t="str"/>
      <x:c r="G161" s="12" t="n">
        <x:v>15</x:v>
      </x:c>
      <x:c r="H161" s="12" t="n">
        <x:v>15</x:v>
      </x:c>
      <x:c r="I161" s="12" t="n">
        <x:v>0</x:v>
      </x:c>
      <x:c r="J161" s="16" t="n">
        <x:v>0</x:v>
      </x:c>
      <x:c r="K161" s="14" t="n">
        <x:v>1</x:v>
      </x:c>
      <x:c r="L161" s="14" t="n">
        <x:v>1</x:v>
      </x:c>
      <x:c r="M161" t="str">
        <x:v>LOW</x:v>
      </x:c>
      <x:c r="N161" t="str">
        <x:v>AKTIF</x:v>
      </x:c>
      <x:c r="O161" t="str"/>
      <x:c r="P161" t="str"/>
      <x:c r="Q161" t="str"/>
      <x:c r="R161" t="str"/>
      <x:c r="S161" t="str"/>
      <x:c r="T161" t="str"/>
      <x:c r="U161" s="18" t="n">
        <x:v>46134.041666666664</x:v>
      </x:c>
      <x:c r="V161" t="str">
        <x:v>INITIAL_IMPORT</x:v>
      </x:c>
    </x:row>
    <x:row r="162">
      <x:c r="A162" t="str">
        <x:v>PRD-JVS-0161</x:v>
      </x:c>
      <x:c r="B162" t="str">
        <x:v>JVS-0161</x:v>
      </x:c>
      <x:c r="C162" t="str">
        <x:v>Emblem Dada / Layar Tulisan Vespa Merk Danmotor</x:v>
      </x:c>
      <x:c r="D162" t="str">
        <x:v>Body</x:v>
      </x:c>
      <x:c r="E162" t="str"/>
      <x:c r="F162" t="str"/>
      <x:c r="G162" s="12" t="n">
        <x:v>25</x:v>
      </x:c>
      <x:c r="H162" s="12" t="n">
        <x:v>25</x:v>
      </x:c>
      <x:c r="I162" s="12" t="n">
        <x:v>0</x:v>
      </x:c>
      <x:c r="J162" s="16" t="n">
        <x:v>0</x:v>
      </x:c>
      <x:c r="K162" s="14" t="n">
        <x:v>4</x:v>
      </x:c>
      <x:c r="L162" s="14" t="n">
        <x:v>1</x:v>
      </x:c>
      <x:c r="M162" t="str">
        <x:v>READY</x:v>
      </x:c>
      <x:c r="N162" t="str">
        <x:v>AKTIF</x:v>
      </x:c>
      <x:c r="O162" t="str"/>
      <x:c r="P162" t="str"/>
      <x:c r="Q162" t="str"/>
      <x:c r="R162" t="str"/>
      <x:c r="S162" t="str"/>
      <x:c r="T162" t="str"/>
      <x:c r="U162" s="18" t="n">
        <x:v>46134.041666666664</x:v>
      </x:c>
      <x:c r="V162" t="str">
        <x:v>INITIAL_IMPORT</x:v>
      </x:c>
    </x:row>
    <x:row r="163">
      <x:c r="A163" t="str">
        <x:v>PRD-JVS-0162</x:v>
      </x:c>
      <x:c r="B163" t="str">
        <x:v>JVS-0162</x:v>
      </x:c>
      <x:c r="C163" t="str">
        <x:v>Emblem Dada Depan Tulisan Vespa Saja Super Sprint Almunium</x:v>
      </x:c>
      <x:c r="D163" t="str">
        <x:v>Body</x:v>
      </x:c>
      <x:c r="E163" t="str">
        <x:v>SUPER, SPRINT</x:v>
      </x:c>
      <x:c r="F163" t="str"/>
      <x:c r="G163" s="12" t="n">
        <x:v>75</x:v>
      </x:c>
      <x:c r="H163" s="12" t="n">
        <x:v>75</x:v>
      </x:c>
      <x:c r="I163" s="12" t="n">
        <x:v>0</x:v>
      </x:c>
      <x:c r="J163" s="16" t="n">
        <x:v>0</x:v>
      </x:c>
      <x:c r="K163" s="14" t="n">
        <x:v>1</x:v>
      </x:c>
      <x:c r="L163" s="14" t="n">
        <x:v>1</x:v>
      </x:c>
      <x:c r="M163" t="str">
        <x:v>LOW</x:v>
      </x:c>
      <x:c r="N163" t="str">
        <x:v>AKTIF</x:v>
      </x:c>
      <x:c r="O163" t="str"/>
      <x:c r="P163" t="str"/>
      <x:c r="Q163" t="str"/>
      <x:c r="R163" t="str"/>
      <x:c r="S163" t="str"/>
      <x:c r="T163" t="str"/>
      <x:c r="U163" s="18" t="n">
        <x:v>46134.041666666664</x:v>
      </x:c>
      <x:c r="V163" t="str">
        <x:v>INITIAL_IMPORT</x:v>
      </x:c>
    </x:row>
    <x:row r="164">
      <x:c r="A164" t="str">
        <x:v>PRD-JVS-0163</x:v>
      </x:c>
      <x:c r="B164" t="str">
        <x:v>JVS-0163</x:v>
      </x:c>
      <x:c r="C164" t="str">
        <x:v>Emblem Dada Depan VBB Almunium Tulisan Vespa 150</x:v>
      </x:c>
      <x:c r="D164" t="str">
        <x:v>Body</x:v>
      </x:c>
      <x:c r="E164" t="str">
        <x:v>VBB</x:v>
      </x:c>
      <x:c r="F164" t="str"/>
      <x:c r="G164" s="12" t="n">
        <x:v>40</x:v>
      </x:c>
      <x:c r="H164" s="12" t="n">
        <x:v>40</x:v>
      </x:c>
      <x:c r="I164" s="12" t="n">
        <x:v>0</x:v>
      </x:c>
      <x:c r="J164" s="16" t="n">
        <x:v>0</x:v>
      </x:c>
      <x:c r="K164" s="14" t="n">
        <x:v>1</x:v>
      </x:c>
      <x:c r="L164" s="14" t="n">
        <x:v>1</x:v>
      </x:c>
      <x:c r="M164" t="str">
        <x:v>LOW</x:v>
      </x:c>
      <x:c r="N164" t="str">
        <x:v>AKTIF</x:v>
      </x:c>
      <x:c r="O164" t="str"/>
      <x:c r="P164" t="str"/>
      <x:c r="Q164" t="str"/>
      <x:c r="R164" t="str"/>
      <x:c r="S164" t="str"/>
      <x:c r="T164" t="str"/>
      <x:c r="U164" s="18" t="n">
        <x:v>46134.041666666664</x:v>
      </x:c>
      <x:c r="V164" t="str">
        <x:v>INITIAL_IMPORT</x:v>
      </x:c>
    </x:row>
    <x:row r="165">
      <x:c r="A165" t="str">
        <x:v>PRD-JVS-0164</x:v>
      </x:c>
      <x:c r="B165" t="str">
        <x:v>JVS-0164</x:v>
      </x:c>
      <x:c r="C165" t="str">
        <x:v>Emblem Logo Chung Dasi Vespa PX Bagian hidung depan Merah</x:v>
      </x:c>
      <x:c r="D165" t="str">
        <x:v>Body</x:v>
      </x:c>
      <x:c r="E165" t="str">
        <x:v>PX</x:v>
      </x:c>
      <x:c r="F165" t="str"/>
      <x:c r="G165" s="12" t="n">
        <x:v>10</x:v>
      </x:c>
      <x:c r="H165" s="12" t="n">
        <x:v>10</x:v>
      </x:c>
      <x:c r="I165" s="12" t="n">
        <x:v>0</x:v>
      </x:c>
      <x:c r="J165" s="16" t="n">
        <x:v>0</x:v>
      </x:c>
      <x:c r="K165" s="14" t="n">
        <x:v>2</x:v>
      </x:c>
      <x:c r="L165" s="14" t="n">
        <x:v>1</x:v>
      </x:c>
      <x:c r="M165" t="str">
        <x:v>READY</x:v>
      </x:c>
      <x:c r="N165" t="str">
        <x:v>AKTIF</x:v>
      </x:c>
      <x:c r="O165" t="str"/>
      <x:c r="P165" t="str"/>
      <x:c r="Q165" t="str"/>
      <x:c r="R165" t="str"/>
      <x:c r="S165" t="str"/>
      <x:c r="T165" t="str"/>
      <x:c r="U165" s="18" t="n">
        <x:v>46134.041666666664</x:v>
      </x:c>
      <x:c r="V165" t="str">
        <x:v>INITIAL_IMPORT</x:v>
      </x:c>
    </x:row>
    <x:row r="166">
      <x:c r="A166" t="str">
        <x:v>PRD-JVS-0165</x:v>
      </x:c>
      <x:c r="B166" t="str">
        <x:v>JVS-0165</x:v>
      </x:c>
      <x:c r="C166" t="str">
        <x:v>Emblem P Coret kotak biasa vespa VBB</x:v>
      </x:c>
      <x:c r="D166" t="str">
        <x:v>Body</x:v>
      </x:c>
      <x:c r="E166" t="str">
        <x:v>VBB</x:v>
      </x:c>
      <x:c r="F166" t="str"/>
      <x:c r="G166" s="12" t="str"/>
      <x:c r="H166" s="12" t="str"/>
      <x:c r="I166" s="12" t="str"/>
      <x:c r="J166" s="16" t="str"/>
      <x:c r="K166" s="14" t="n">
        <x:v>4</x:v>
      </x:c>
      <x:c r="L166" s="14" t="n">
        <x:v>1</x:v>
      </x:c>
      <x:c r="M166" t="str">
        <x:v>READY</x:v>
      </x:c>
      <x:c r="N166" t="str">
        <x:v>AKTIF</x:v>
      </x:c>
      <x:c r="O166" t="str"/>
      <x:c r="P166" t="str"/>
      <x:c r="Q166" t="str"/>
      <x:c r="R166" t="str"/>
      <x:c r="S166" t="str"/>
      <x:c r="T166" t="str"/>
      <x:c r="U166" s="18" t="n">
        <x:v>46134.041666666664</x:v>
      </x:c>
      <x:c r="V166" t="str">
        <x:v>INITIAL_IMPORT</x:v>
      </x:c>
    </x:row>
    <x:row r="167">
      <x:c r="A167" t="str">
        <x:v>PRD-JVS-0166</x:v>
      </x:c>
      <x:c r="B167" t="str">
        <x:v>JVS-0166</x:v>
      </x:c>
      <x:c r="C167" t="str">
        <x:v>Emblem Piaggio Dasi Hidung Tulisan Piaggio Bagian Atas Vespa PX PS Danmotor</x:v>
      </x:c>
      <x:c r="D167" t="str">
        <x:v>Body</x:v>
      </x:c>
      <x:c r="E167" t="str">
        <x:v>PX, PS</x:v>
      </x:c>
      <x:c r="F167" t="str"/>
      <x:c r="G167" s="12" t="n">
        <x:v>18</x:v>
      </x:c>
      <x:c r="H167" s="12" t="n">
        <x:v>18</x:v>
      </x:c>
      <x:c r="I167" s="12" t="n">
        <x:v>0</x:v>
      </x:c>
      <x:c r="J167" s="16" t="n">
        <x:v>0</x:v>
      </x:c>
      <x:c r="K167" s="14" t="n">
        <x:v>2</x:v>
      </x:c>
      <x:c r="L167" s="14" t="n">
        <x:v>1</x:v>
      </x:c>
      <x:c r="M167" t="str">
        <x:v>READY</x:v>
      </x:c>
      <x:c r="N167" t="str">
        <x:v>AKTIF</x:v>
      </x:c>
      <x:c r="O167" t="str"/>
      <x:c r="P167" t="str"/>
      <x:c r="Q167" t="str"/>
      <x:c r="R167" t="str"/>
      <x:c r="S167" t="str"/>
      <x:c r="T167" t="str"/>
      <x:c r="U167" s="18" t="n">
        <x:v>46134.041666666664</x:v>
      </x:c>
      <x:c r="V167" t="str">
        <x:v>INITIAL_IMPORT</x:v>
      </x:c>
    </x:row>
    <x:row r="168">
      <x:c r="A168" t="str">
        <x:v>PRD-JVS-0167</x:v>
      </x:c>
      <x:c r="B168" t="str">
        <x:v>JVS-0167</x:v>
      </x:c>
      <x:c r="C168" t="str">
        <x:v>Emblem Piaggio Dasi Hidung Tulisan Piaggio tipis Excel Spartan NewPX Danmotor</x:v>
      </x:c>
      <x:c r="D168" t="str">
        <x:v>Body</x:v>
      </x:c>
      <x:c r="E168" t="str">
        <x:v>EXCEL, PX, SPARTAN, NEWPX</x:v>
      </x:c>
      <x:c r="F168" t="str"/>
      <x:c r="G168" s="12" t="str"/>
      <x:c r="H168" s="12" t="str"/>
      <x:c r="I168" s="12" t="str"/>
      <x:c r="J168" s="16" t="str"/>
      <x:c r="K168" s="14" t="n">
        <x:v>25</x:v>
      </x:c>
      <x:c r="L168" s="14" t="n">
        <x:v>1</x:v>
      </x:c>
      <x:c r="M168" t="str">
        <x:v>READY</x:v>
      </x:c>
      <x:c r="N168" t="str">
        <x:v>AKTIF</x:v>
      </x:c>
      <x:c r="O168" t="str"/>
      <x:c r="P168" t="str"/>
      <x:c r="Q168" t="str"/>
      <x:c r="R168" t="str"/>
      <x:c r="S168" t="str"/>
      <x:c r="T168" t="str"/>
      <x:c r="U168" s="18" t="n">
        <x:v>46134.041666666664</x:v>
      </x:c>
      <x:c r="V168" t="str">
        <x:v>INITIAL_IMPORT</x:v>
      </x:c>
    </x:row>
    <x:row r="169">
      <x:c r="A169" t="str">
        <x:v>PRD-JVS-0168</x:v>
      </x:c>
      <x:c r="B169" t="str">
        <x:v>JVS-0168</x:v>
      </x:c>
      <x:c r="C169" t="str">
        <x:v>Emblem Set Depan Belakang Sprint V</x:v>
      </x:c>
      <x:c r="D169" t="str">
        <x:v>Body</x:v>
      </x:c>
      <x:c r="E169" t="str">
        <x:v>SPRINT</x:v>
      </x:c>
      <x:c r="F169" t="str"/>
      <x:c r="G169" s="12" t="str"/>
      <x:c r="H169" s="12" t="str"/>
      <x:c r="I169" s="12" t="str"/>
      <x:c r="J169" s="16" t="str"/>
      <x:c r="K169" s="14" t="n">
        <x:v>4</x:v>
      </x:c>
      <x:c r="L169" s="14" t="n">
        <x:v>1</x:v>
      </x:c>
      <x:c r="M169" t="str">
        <x:v>READY</x:v>
      </x:c>
      <x:c r="N169" t="str">
        <x:v>AKTIF</x:v>
      </x:c>
      <x:c r="O169" t="str"/>
      <x:c r="P169" t="str"/>
      <x:c r="Q169" t="str"/>
      <x:c r="R169" t="str"/>
      <x:c r="S169" t="str"/>
      <x:c r="T169" t="str"/>
      <x:c r="U169" s="18" t="n">
        <x:v>46134.041666666664</x:v>
      </x:c>
      <x:c r="V169" t="str">
        <x:v>INITIAL_IMPORT</x:v>
      </x:c>
    </x:row>
    <x:row r="170">
      <x:c r="A170" t="str">
        <x:v>PRD-JVS-0169</x:v>
      </x:c>
      <x:c r="B170" t="str">
        <x:v>JVS-0169</x:v>
      </x:c>
      <x:c r="C170" t="str">
        <x:v>Emblem Set Depan Belakang Super 66 latin</x:v>
      </x:c>
      <x:c r="D170" t="str">
        <x:v>Body</x:v>
      </x:c>
      <x:c r="E170" t="str">
        <x:v>SUPER</x:v>
      </x:c>
      <x:c r="F170" t="str"/>
      <x:c r="G170" s="12" t="n">
        <x:v>35</x:v>
      </x:c>
      <x:c r="H170" s="12" t="n">
        <x:v>35</x:v>
      </x:c>
      <x:c r="I170" s="12" t="n">
        <x:v>0</x:v>
      </x:c>
      <x:c r="J170" s="16" t="n">
        <x:v>0</x:v>
      </x:c>
      <x:c r="K170" s="14" t="n">
        <x:v>1</x:v>
      </x:c>
      <x:c r="L170" s="14" t="n">
        <x:v>1</x:v>
      </x:c>
      <x:c r="M170" t="str">
        <x:v>LOW</x:v>
      </x:c>
      <x:c r="N170" t="str">
        <x:v>AKTIF</x:v>
      </x:c>
      <x:c r="O170" t="str"/>
      <x:c r="P170" t="str"/>
      <x:c r="Q170" t="str"/>
      <x:c r="R170" t="str"/>
      <x:c r="S170" t="str"/>
      <x:c r="T170" t="str"/>
      <x:c r="U170" s="18" t="n">
        <x:v>46134.041666666664</x:v>
      </x:c>
      <x:c r="V170" t="str">
        <x:v>INITIAL_IMPORT</x:v>
      </x:c>
    </x:row>
    <x:row r="171">
      <x:c r="A171" t="str">
        <x:v>PRD-JVS-0170</x:v>
      </x:c>
      <x:c r="B171" t="str">
        <x:v>JVS-0170</x:v>
      </x:c>
      <x:c r="C171" t="str">
        <x:v>Emblem Tepong Exclusive Almunium</x:v>
      </x:c>
      <x:c r="D171" t="str">
        <x:v>Body</x:v>
      </x:c>
      <x:c r="E171" t="str">
        <x:v>EXCLUSIVE</x:v>
      </x:c>
      <x:c r="F171" t="str"/>
      <x:c r="G171" s="12" t="str"/>
      <x:c r="H171" s="12" t="str"/>
      <x:c r="I171" s="12" t="str"/>
      <x:c r="J171" s="16" t="str"/>
      <x:c r="K171" s="14" t="n">
        <x:v>3</x:v>
      </x:c>
      <x:c r="L171" s="14" t="n">
        <x:v>1</x:v>
      </x:c>
      <x:c r="M171" t="str">
        <x:v>READY</x:v>
      </x:c>
      <x:c r="N171" t="str">
        <x:v>AKTIF</x:v>
      </x:c>
      <x:c r="O171" t="str"/>
      <x:c r="P171" t="str"/>
      <x:c r="Q171" t="str"/>
      <x:c r="R171" t="str"/>
      <x:c r="S171" t="str"/>
      <x:c r="T171" t="str"/>
      <x:c r="U171" s="18" t="n">
        <x:v>46134.041666666664</x:v>
      </x:c>
      <x:c r="V171" t="str">
        <x:v>INITIAL_IMPORT</x:v>
      </x:c>
    </x:row>
    <x:row r="172">
      <x:c r="A172" t="str">
        <x:v>PRD-JVS-0171</x:v>
      </x:c>
      <x:c r="B172" t="str">
        <x:v>JVS-0171</x:v>
      </x:c>
      <x:c r="C172" t="str">
        <x:v>Engsel jok panjang vespa universal</x:v>
      </x:c>
      <x:c r="D172" t="str">
        <x:v>Body</x:v>
      </x:c>
      <x:c r="E172" t="str"/>
      <x:c r="F172" t="str"/>
      <x:c r="G172" s="12" t="n">
        <x:v>25</x:v>
      </x:c>
      <x:c r="H172" s="12" t="n">
        <x:v>25</x:v>
      </x:c>
      <x:c r="I172" s="12" t="n">
        <x:v>0</x:v>
      </x:c>
      <x:c r="J172" s="16" t="n">
        <x:v>0</x:v>
      </x:c>
      <x:c r="K172" s="14" t="n">
        <x:v>3</x:v>
      </x:c>
      <x:c r="L172" s="14" t="n">
        <x:v>1</x:v>
      </x:c>
      <x:c r="M172" t="str">
        <x:v>READY</x:v>
      </x:c>
      <x:c r="N172" t="str">
        <x:v>AKTIF</x:v>
      </x:c>
      <x:c r="O172" t="str"/>
      <x:c r="P172" t="str"/>
      <x:c r="Q172" t="str"/>
      <x:c r="R172" t="str"/>
      <x:c r="S172" t="str"/>
      <x:c r="T172" t="str"/>
      <x:c r="U172" s="18" t="n">
        <x:v>46134.041666666664</x:v>
      </x:c>
      <x:c r="V172" t="str">
        <x:v>INITIAL_IMPORT</x:v>
      </x:c>
    </x:row>
    <x:row r="173">
      <x:c r="A173" t="str">
        <x:v>PRD-JVS-0172</x:v>
      </x:c>
      <x:c r="B173" t="str">
        <x:v>JVS-0172</x:v>
      </x:c>
      <x:c r="C173" t="str">
        <x:v>Filter Deksel Vespa Impor</x:v>
      </x:c>
      <x:c r="D173" t="str">
        <x:v>Servis</x:v>
      </x:c>
      <x:c r="E173" t="str"/>
      <x:c r="F173" t="str"/>
      <x:c r="G173" s="12" t="str"/>
      <x:c r="H173" s="12" t="str"/>
      <x:c r="I173" s="12" t="str"/>
      <x:c r="J173" s="16" t="str"/>
      <x:c r="K173" s="14" t="n">
        <x:v>3</x:v>
      </x:c>
      <x:c r="L173" s="14" t="n">
        <x:v>1</x:v>
      </x:c>
      <x:c r="M173" t="str">
        <x:v>READY</x:v>
      </x:c>
      <x:c r="N173" t="str">
        <x:v>AKTIF</x:v>
      </x:c>
      <x:c r="O173" t="str"/>
      <x:c r="P173" t="str"/>
      <x:c r="Q173" t="str"/>
      <x:c r="R173" t="str"/>
      <x:c r="S173" t="str"/>
      <x:c r="T173" t="str"/>
      <x:c r="U173" s="18" t="n">
        <x:v>46134.041666666664</x:v>
      </x:c>
      <x:c r="V173" t="str">
        <x:v>INITIAL_IMPORT</x:v>
      </x:c>
    </x:row>
    <x:row r="174">
      <x:c r="A174" t="str">
        <x:v>PRD-JVS-0173</x:v>
      </x:c>
      <x:c r="B174" t="str">
        <x:v>JVS-0173</x:v>
      </x:c>
      <x:c r="C174" t="str">
        <x:v>Filter Karburator Panjang / Besar Vespa</x:v>
      </x:c>
      <x:c r="D174" t="str">
        <x:v>Mesin</x:v>
      </x:c>
      <x:c r="E174" t="str"/>
      <x:c r="F174" t="str"/>
      <x:c r="G174" s="12" t="n">
        <x:v>42</x:v>
      </x:c>
      <x:c r="H174" s="12" t="n">
        <x:v>42</x:v>
      </x:c>
      <x:c r="I174" s="12" t="n">
        <x:v>0</x:v>
      </x:c>
      <x:c r="J174" s="16" t="n">
        <x:v>0</x:v>
      </x:c>
      <x:c r="K174" s="14" t="n">
        <x:v>2</x:v>
      </x:c>
      <x:c r="L174" s="14" t="n">
        <x:v>1</x:v>
      </x:c>
      <x:c r="M174" t="str">
        <x:v>READY</x:v>
      </x:c>
      <x:c r="N174" t="str">
        <x:v>AKTIF</x:v>
      </x:c>
      <x:c r="O174" t="str"/>
      <x:c r="P174" t="str"/>
      <x:c r="Q174" t="str"/>
      <x:c r="R174" t="str"/>
      <x:c r="S174" t="str"/>
      <x:c r="T174" t="str"/>
      <x:c r="U174" s="18" t="n">
        <x:v>46134.041666666664</x:v>
      </x:c>
      <x:c r="V174" t="str">
        <x:v>INITIAL_IMPORT</x:v>
      </x:c>
    </x:row>
    <x:row r="175">
      <x:c r="A175" t="str">
        <x:v>PRD-JVS-0174</x:v>
      </x:c>
      <x:c r="B175" t="str">
        <x:v>JVS-0174</x:v>
      </x:c>
      <x:c r="C175" t="str">
        <x:v>Filter Karburator Vespa pendek/ kecil</x:v>
      </x:c>
      <x:c r="D175" t="str">
        <x:v>Mesin</x:v>
      </x:c>
      <x:c r="E175" t="str"/>
      <x:c r="F175" t="str"/>
      <x:c r="G175" s="12" t="n">
        <x:v>35</x:v>
      </x:c>
      <x:c r="H175" s="12" t="n">
        <x:v>35</x:v>
      </x:c>
      <x:c r="I175" s="12" t="n">
        <x:v>0</x:v>
      </x:c>
      <x:c r="J175" s="16" t="n">
        <x:v>0</x:v>
      </x:c>
      <x:c r="K175" s="14" t="n">
        <x:v>3</x:v>
      </x:c>
      <x:c r="L175" s="14" t="n">
        <x:v>1</x:v>
      </x:c>
      <x:c r="M175" t="str">
        <x:v>READY</x:v>
      </x:c>
      <x:c r="N175" t="str">
        <x:v>AKTIF</x:v>
      </x:c>
      <x:c r="O175" t="str"/>
      <x:c r="P175" t="str"/>
      <x:c r="Q175" t="str"/>
      <x:c r="R175" t="str"/>
      <x:c r="S175" t="str"/>
      <x:c r="T175" t="str"/>
      <x:c r="U175" s="18" t="n">
        <x:v>46134.041666666664</x:v>
      </x:c>
      <x:c r="V175" t="str">
        <x:v>INITIAL_IMPORT</x:v>
      </x:c>
    </x:row>
    <x:row r="176">
      <x:c r="A176" t="str">
        <x:v>PRD-JVS-0175</x:v>
      </x:c>
      <x:c r="B176" t="str">
        <x:v>JVS-0175</x:v>
      </x:c>
      <x:c r="C176" t="str">
        <x:v>Fitting Lampu Depan Vespa PX, PS, Exclusive</x:v>
      </x:c>
      <x:c r="D176" t="str">
        <x:v>Kelistrikan</x:v>
      </x:c>
      <x:c r="E176" t="str">
        <x:v>EXCLUSIVE, PX, PS</x:v>
      </x:c>
      <x:c r="F176" t="str"/>
      <x:c r="G176" s="12" t="n">
        <x:v>28</x:v>
      </x:c>
      <x:c r="H176" s="12" t="n">
        <x:v>28</x:v>
      </x:c>
      <x:c r="I176" s="12" t="n">
        <x:v>0</x:v>
      </x:c>
      <x:c r="J176" s="16" t="n">
        <x:v>0</x:v>
      </x:c>
      <x:c r="K176" s="14" t="n">
        <x:v>0</x:v>
      </x:c>
      <x:c r="L176" s="14" t="n">
        <x:v>1</x:v>
      </x:c>
      <x:c r="M176" t="str">
        <x:v>OUT OF STOCK</x:v>
      </x:c>
      <x:c r="N176" t="str">
        <x:v>AKTIF</x:v>
      </x:c>
      <x:c r="O176" t="str"/>
      <x:c r="P176" t="str"/>
      <x:c r="Q176" t="str"/>
      <x:c r="R176" t="str"/>
      <x:c r="S176" t="str"/>
      <x:c r="T176" t="str"/>
      <x:c r="U176" s="18" t="n">
        <x:v>46134.041666666664</x:v>
      </x:c>
      <x:c r="V176" t="str">
        <x:v>INITIAL_IMPORT</x:v>
      </x:c>
    </x:row>
    <x:row r="177">
      <x:c r="A177" t="str">
        <x:v>PRD-JVS-0176</x:v>
      </x:c>
      <x:c r="B177" t="str">
        <x:v>JVS-0176</x:v>
      </x:c>
      <x:c r="C177" t="str">
        <x:v>Fitting Lampu Depan Vespa Super</x:v>
      </x:c>
      <x:c r="D177" t="str">
        <x:v>Kelistrikan</x:v>
      </x:c>
      <x:c r="E177" t="str">
        <x:v>SUPER</x:v>
      </x:c>
      <x:c r="F177" t="str"/>
      <x:c r="G177" s="12" t="n">
        <x:v>26</x:v>
      </x:c>
      <x:c r="H177" s="12" t="n">
        <x:v>26</x:v>
      </x:c>
      <x:c r="I177" s="12" t="n">
        <x:v>0</x:v>
      </x:c>
      <x:c r="J177" s="16" t="n">
        <x:v>0</x:v>
      </x:c>
      <x:c r="K177" s="14" t="n">
        <x:v>2</x:v>
      </x:c>
      <x:c r="L177" s="14" t="n">
        <x:v>1</x:v>
      </x:c>
      <x:c r="M177" t="str">
        <x:v>READY</x:v>
      </x:c>
      <x:c r="N177" t="str">
        <x:v>AKTIF</x:v>
      </x:c>
      <x:c r="O177" t="str"/>
      <x:c r="P177" t="str"/>
      <x:c r="Q177" t="str"/>
      <x:c r="R177" t="str"/>
      <x:c r="S177" t="str"/>
      <x:c r="T177" t="str"/>
      <x:c r="U177" s="18" t="n">
        <x:v>46134.041666666664</x:v>
      </x:c>
      <x:c r="V177" t="str">
        <x:v>INITIAL_IMPORT</x:v>
      </x:c>
    </x:row>
    <x:row r="178">
      <x:c r="A178" t="str">
        <x:v>PRD-JVS-0177</x:v>
      </x:c>
      <x:c r="B178" t="str">
        <x:v>JVS-0177</x:v>
      </x:c>
      <x:c r="C178" t="str">
        <x:v>Fitting Lampu Depan Vespa VBB</x:v>
      </x:c>
      <x:c r="D178" t="str">
        <x:v>Kelistrikan</x:v>
      </x:c>
      <x:c r="E178" t="str">
        <x:v>VBB</x:v>
      </x:c>
      <x:c r="F178" t="str"/>
      <x:c r="G178" s="12" t="n">
        <x:v>28</x:v>
      </x:c>
      <x:c r="H178" s="12" t="n">
        <x:v>28</x:v>
      </x:c>
      <x:c r="I178" s="12" t="n">
        <x:v>0</x:v>
      </x:c>
      <x:c r="J178" s="16" t="n">
        <x:v>0</x:v>
      </x:c>
      <x:c r="K178" s="14" t="n">
        <x:v>2</x:v>
      </x:c>
      <x:c r="L178" s="14" t="n">
        <x:v>1</x:v>
      </x:c>
      <x:c r="M178" t="str">
        <x:v>READY</x:v>
      </x:c>
      <x:c r="N178" t="str">
        <x:v>AKTIF</x:v>
      </x:c>
      <x:c r="O178" t="str"/>
      <x:c r="P178" t="str"/>
      <x:c r="Q178" t="str"/>
      <x:c r="R178" t="str"/>
      <x:c r="S178" t="str"/>
      <x:c r="T178" t="str"/>
      <x:c r="U178" s="18" t="n">
        <x:v>46134.041666666664</x:v>
      </x:c>
      <x:c r="V178" t="str">
        <x:v>INITIAL_IMPORT</x:v>
      </x:c>
    </x:row>
    <x:row r="179">
      <x:c r="A179" t="str">
        <x:v>PRD-JVS-0178</x:v>
      </x:c>
      <x:c r="B179" t="str">
        <x:v>JVS-0178</x:v>
      </x:c>
      <x:c r="C179" t="str">
        <x:v>Fitting Lampu Headlamp Vespa NewPX Lampu Bulat</x:v>
      </x:c>
      <x:c r="D179" t="str">
        <x:v>Mesin</x:v>
      </x:c>
      <x:c r="E179" t="str">
        <x:v>PX, NEWPX</x:v>
      </x:c>
      <x:c r="F179" t="str"/>
      <x:c r="G179" s="12" t="str"/>
      <x:c r="H179" s="12" t="str"/>
      <x:c r="I179" s="12" t="str"/>
      <x:c r="J179" s="16" t="str"/>
      <x:c r="K179" s="14" t="n">
        <x:v>3</x:v>
      </x:c>
      <x:c r="L179" s="14" t="n">
        <x:v>1</x:v>
      </x:c>
      <x:c r="M179" t="str">
        <x:v>READY</x:v>
      </x:c>
      <x:c r="N179" t="str">
        <x:v>AKTIF</x:v>
      </x:c>
      <x:c r="O179" t="str"/>
      <x:c r="P179" t="str"/>
      <x:c r="Q179" t="str"/>
      <x:c r="R179" t="str"/>
      <x:c r="S179" t="str"/>
      <x:c r="T179" t="str"/>
      <x:c r="U179" s="18" t="n">
        <x:v>46134.041666666664</x:v>
      </x:c>
      <x:c r="V179" t="str">
        <x:v>INITIAL_IMPORT</x:v>
      </x:c>
    </x:row>
    <x:row r="180">
      <x:c r="A180" t="str">
        <x:v>PRD-JVS-0179</x:v>
      </x:c>
      <x:c r="B180" t="str">
        <x:v>JVS-0179</x:v>
      </x:c>
      <x:c r="C180" t="str">
        <x:v>Flasher Sein Kaki 2</x:v>
      </x:c>
      <x:c r="D180" t="str">
        <x:v>Kelistrikan</x:v>
      </x:c>
      <x:c r="E180" t="str"/>
      <x:c r="F180" t="str"/>
      <x:c r="G180" s="12" t="n">
        <x:v>12.5</x:v>
      </x:c>
      <x:c r="H180" s="12" t="n">
        <x:v>12.5</x:v>
      </x:c>
      <x:c r="I180" s="12" t="n">
        <x:v>0</x:v>
      </x:c>
      <x:c r="J180" s="16" t="n">
        <x:v>0</x:v>
      </x:c>
      <x:c r="K180" s="14" t="n">
        <x:v>3</x:v>
      </x:c>
      <x:c r="L180" s="14" t="n">
        <x:v>1</x:v>
      </x:c>
      <x:c r="M180" t="str">
        <x:v>READY</x:v>
      </x:c>
      <x:c r="N180" t="str">
        <x:v>AKTIF</x:v>
      </x:c>
      <x:c r="O180" t="str"/>
      <x:c r="P180" t="str"/>
      <x:c r="Q180" t="str"/>
      <x:c r="R180" t="str"/>
      <x:c r="S180" t="str"/>
      <x:c r="T180" t="str"/>
      <x:c r="U180" s="18" t="n">
        <x:v>46134.041666666664</x:v>
      </x:c>
      <x:c r="V180" t="str">
        <x:v>INITIAL_IMPORT</x:v>
      </x:c>
    </x:row>
    <x:row r="181">
      <x:c r="A181" t="str">
        <x:v>PRD-JVS-0180</x:v>
      </x:c>
      <x:c r="B181" t="str">
        <x:v>JVS-0180</x:v>
      </x:c>
      <x:c r="C181" t="str">
        <x:v>Flasher Sein Kaki 3 Vespa</x:v>
      </x:c>
      <x:c r="D181" t="str">
        <x:v>Kelistrikan</x:v>
      </x:c>
      <x:c r="E181" t="str"/>
      <x:c r="F181" t="str"/>
      <x:c r="G181" s="12" t="n">
        <x:v>37</x:v>
      </x:c>
      <x:c r="H181" s="12" t="n">
        <x:v>37</x:v>
      </x:c>
      <x:c r="I181" s="12" t="n">
        <x:v>0</x:v>
      </x:c>
      <x:c r="J181" s="16" t="n">
        <x:v>0</x:v>
      </x:c>
      <x:c r="K181" s="14" t="n">
        <x:v>3</x:v>
      </x:c>
      <x:c r="L181" s="14" t="n">
        <x:v>1</x:v>
      </x:c>
      <x:c r="M181" t="str">
        <x:v>READY</x:v>
      </x:c>
      <x:c r="N181" t="str">
        <x:v>AKTIF</x:v>
      </x:c>
      <x:c r="O181" t="str"/>
      <x:c r="P181" t="str"/>
      <x:c r="Q181" t="str"/>
      <x:c r="R181" t="str"/>
      <x:c r="S181" t="str"/>
      <x:c r="T181" t="str"/>
      <x:c r="U181" s="18" t="n">
        <x:v>46134.041666666664</x:v>
      </x:c>
      <x:c r="V181" t="str">
        <x:v>INITIAL_IMPORT</x:v>
      </x:c>
    </x:row>
    <x:row r="182">
      <x:c r="A182" t="str">
        <x:v>PRD-JVS-0181</x:v>
      </x:c>
      <x:c r="B182" t="str">
        <x:v>JVS-0181</x:v>
      </x:c>
      <x:c r="C182" t="str">
        <x:v>Frontrack biasa</x:v>
      </x:c>
      <x:c r="D182" t="str">
        <x:v>Aksesoris</x:v>
      </x:c>
      <x:c r="E182" t="str"/>
      <x:c r="F182" t="str"/>
      <x:c r="G182" s="12" t="n">
        <x:v>155</x:v>
      </x:c>
      <x:c r="H182" s="12" t="n">
        <x:v>155</x:v>
      </x:c>
      <x:c r="I182" s="12" t="n">
        <x:v>0</x:v>
      </x:c>
      <x:c r="J182" s="16" t="n">
        <x:v>0</x:v>
      </x:c>
      <x:c r="K182" s="14" t="n">
        <x:v>1</x:v>
      </x:c>
      <x:c r="L182" s="14" t="n">
        <x:v>1</x:v>
      </x:c>
      <x:c r="M182" t="str">
        <x:v>LOW</x:v>
      </x:c>
      <x:c r="N182" t="str">
        <x:v>AKTIF</x:v>
      </x:c>
      <x:c r="O182" t="str"/>
      <x:c r="P182" t="str"/>
      <x:c r="Q182" t="str"/>
      <x:c r="R182" t="str"/>
      <x:c r="S182" t="str"/>
      <x:c r="T182" t="str"/>
      <x:c r="U182" s="18" t="n">
        <x:v>46134.041666666664</x:v>
      </x:c>
      <x:c r="V182" t="str">
        <x:v>INITIAL_IMPORT</x:v>
      </x:c>
    </x:row>
    <x:row r="183">
      <x:c r="A183" t="str">
        <x:v>PRD-JVS-0182</x:v>
      </x:c>
      <x:c r="B183" t="str">
        <x:v>JVS-0182</x:v>
      </x:c>
      <x:c r="C183" t="str">
        <x:v>Fulser Pulser Pickup Kontak Pengapian CDI Merk Danmotor</x:v>
      </x:c>
      <x:c r="D183" t="str">
        <x:v>Mesin</x:v>
      </x:c>
      <x:c r="E183" t="str"/>
      <x:c r="F183" t="str"/>
      <x:c r="G183" s="12" t="n">
        <x:v>145</x:v>
      </x:c>
      <x:c r="H183" s="12" t="n">
        <x:v>145</x:v>
      </x:c>
      <x:c r="I183" s="12" t="n">
        <x:v>0</x:v>
      </x:c>
      <x:c r="J183" s="16" t="n">
        <x:v>0</x:v>
      </x:c>
      <x:c r="K183" s="14" t="n">
        <x:v>1</x:v>
      </x:c>
      <x:c r="L183" s="14" t="n">
        <x:v>1</x:v>
      </x:c>
      <x:c r="M183" t="str">
        <x:v>LOW</x:v>
      </x:c>
      <x:c r="N183" t="str">
        <x:v>AKTIF</x:v>
      </x:c>
      <x:c r="O183" t="str"/>
      <x:c r="P183" t="str"/>
      <x:c r="Q183" t="str"/>
      <x:c r="R183" t="str"/>
      <x:c r="S183" t="str"/>
      <x:c r="T183" t="str"/>
      <x:c r="U183" s="18" t="n">
        <x:v>46134.041666666664</x:v>
      </x:c>
      <x:c r="V183" t="str">
        <x:v>INITIAL_IMPORT</x:v>
      </x:c>
    </x:row>
    <x:row r="184">
      <x:c r="A184" t="str">
        <x:v>PRD-JVS-0183</x:v>
      </x:c>
      <x:c r="B184" t="str">
        <x:v>JVS-0183</x:v>
      </x:c>
      <x:c r="C184" t="str">
        <x:v>Fulser Pulser Pickup Kontak Pengapian CDI Merk Vesgio Vemsa</x:v>
      </x:c>
      <x:c r="D184" t="str">
        <x:v>Mesin</x:v>
      </x:c>
      <x:c r="E184" t="str"/>
      <x:c r="F184" t="str"/>
      <x:c r="G184" s="12" t="n">
        <x:v>80</x:v>
      </x:c>
      <x:c r="H184" s="12" t="n">
        <x:v>80</x:v>
      </x:c>
      <x:c r="I184" s="12" t="n">
        <x:v>0</x:v>
      </x:c>
      <x:c r="J184" s="16" t="n">
        <x:v>0</x:v>
      </x:c>
      <x:c r="K184" s="14" t="n">
        <x:v>1</x:v>
      </x:c>
      <x:c r="L184" s="14" t="n">
        <x:v>1</x:v>
      </x:c>
      <x:c r="M184" t="str">
        <x:v>LOW</x:v>
      </x:c>
      <x:c r="N184" t="str">
        <x:v>AKTIF</x:v>
      </x:c>
      <x:c r="O184" t="str"/>
      <x:c r="P184" t="str"/>
      <x:c r="Q184" t="str"/>
      <x:c r="R184" t="str"/>
      <x:c r="S184" t="str"/>
      <x:c r="T184" t="str"/>
      <x:c r="U184" s="18" t="n">
        <x:v>46134.041666666664</x:v>
      </x:c>
      <x:c r="V184" t="str">
        <x:v>INITIAL_IMPORT</x:v>
      </x:c>
    </x:row>
    <x:row r="185">
      <x:c r="A185" t="str">
        <x:v>PRD-JVS-0184</x:v>
      </x:c>
      <x:c r="B185" t="str">
        <x:v>JVS-0184</x:v>
      </x:c>
      <x:c r="C185" t="str">
        <x:v>Gigi Kopling 21T Vespa Excel Vesgio Import</x:v>
      </x:c>
      <x:c r="D185" t="str">
        <x:v>Mesin</x:v>
      </x:c>
      <x:c r="E185" t="str">
        <x:v>EXCEL</x:v>
      </x:c>
      <x:c r="F185" t="str"/>
      <x:c r="G185" s="12" t="n">
        <x:v>100</x:v>
      </x:c>
      <x:c r="H185" s="12" t="n">
        <x:v>100</x:v>
      </x:c>
      <x:c r="I185" s="12" t="n">
        <x:v>0</x:v>
      </x:c>
      <x:c r="J185" s="16" t="n">
        <x:v>0</x:v>
      </x:c>
      <x:c r="K185" s="14" t="n">
        <x:v>1</x:v>
      </x:c>
      <x:c r="L185" s="14" t="n">
        <x:v>1</x:v>
      </x:c>
      <x:c r="M185" t="str">
        <x:v>LOW</x:v>
      </x:c>
      <x:c r="N185" t="str">
        <x:v>AKTIF</x:v>
      </x:c>
      <x:c r="O185" t="str"/>
      <x:c r="P185" t="str"/>
      <x:c r="Q185" t="str"/>
      <x:c r="R185" t="str"/>
      <x:c r="S185" t="str"/>
      <x:c r="T185" t="str"/>
      <x:c r="U185" s="18" t="n">
        <x:v>46134.041666666664</x:v>
      </x:c>
      <x:c r="V185" t="str">
        <x:v>INITIAL_IMPORT</x:v>
      </x:c>
    </x:row>
    <x:row r="186">
      <x:c r="A186" t="str">
        <x:v>PRD-JVS-0185</x:v>
      </x:c>
      <x:c r="B186" t="str">
        <x:v>JVS-0185</x:v>
      </x:c>
      <x:c r="C186" t="str">
        <x:v>Gigi Kopling Vespa PX Lokal</x:v>
      </x:c>
      <x:c r="D186" t="str">
        <x:v>Mesin</x:v>
      </x:c>
      <x:c r="E186" t="str">
        <x:v>PX</x:v>
      </x:c>
      <x:c r="F186" t="str"/>
      <x:c r="G186" s="12" t="n">
        <x:v>85</x:v>
      </x:c>
      <x:c r="H186" s="12" t="n">
        <x:v>85</x:v>
      </x:c>
      <x:c r="I186" s="12" t="n">
        <x:v>0</x:v>
      </x:c>
      <x:c r="J186" s="16" t="n">
        <x:v>0</x:v>
      </x:c>
      <x:c r="K186" s="14" t="n">
        <x:v>2</x:v>
      </x:c>
      <x:c r="L186" s="14" t="n">
        <x:v>1</x:v>
      </x:c>
      <x:c r="M186" t="str">
        <x:v>READY</x:v>
      </x:c>
      <x:c r="N186" t="str">
        <x:v>AKTIF</x:v>
      </x:c>
      <x:c r="O186" t="str"/>
      <x:c r="P186" t="str"/>
      <x:c r="Q186" t="str"/>
      <x:c r="R186" t="str"/>
      <x:c r="S186" t="str"/>
      <x:c r="T186" t="str"/>
      <x:c r="U186" s="18" t="n">
        <x:v>46134.041666666664</x:v>
      </x:c>
      <x:c r="V186" t="str">
        <x:v>INITIAL_IMPORT</x:v>
      </x:c>
    </x:row>
    <x:row r="187">
      <x:c r="A187" t="str">
        <x:v>PRD-JVS-0186</x:v>
      </x:c>
      <x:c r="B187" t="str">
        <x:v>JVS-0186</x:v>
      </x:c>
      <x:c r="C187" t="str">
        <x:v>Gigi Kopling Vespa Super Lokal</x:v>
      </x:c>
      <x:c r="D187" t="str">
        <x:v>Mesin</x:v>
      </x:c>
      <x:c r="E187" t="str">
        <x:v>SUPER</x:v>
      </x:c>
      <x:c r="F187" t="str"/>
      <x:c r="G187" s="12" t="n">
        <x:v>90</x:v>
      </x:c>
      <x:c r="H187" s="12" t="n">
        <x:v>90</x:v>
      </x:c>
      <x:c r="I187" s="12" t="n">
        <x:v>0</x:v>
      </x:c>
      <x:c r="J187" s="16" t="n">
        <x:v>0</x:v>
      </x:c>
      <x:c r="K187" s="14" t="n">
        <x:v>1</x:v>
      </x:c>
      <x:c r="L187" s="14" t="n">
        <x:v>1</x:v>
      </x:c>
      <x:c r="M187" t="str">
        <x:v>LOW</x:v>
      </x:c>
      <x:c r="N187" t="str">
        <x:v>AKTIF</x:v>
      </x:c>
      <x:c r="O187" t="str"/>
      <x:c r="P187" t="str"/>
      <x:c r="Q187" t="str"/>
      <x:c r="R187" t="str"/>
      <x:c r="S187" t="str"/>
      <x:c r="T187" t="str"/>
      <x:c r="U187" s="18" t="n">
        <x:v>46134.041666666664</x:v>
      </x:c>
      <x:c r="V187" t="str">
        <x:v>INITIAL_IMPORT</x:v>
      </x:c>
    </x:row>
    <x:row r="188">
      <x:c r="A188" t="str">
        <x:v>PRD-JVS-0187</x:v>
      </x:c>
      <x:c r="B188" t="str">
        <x:v>JVS-0187</x:v>
      </x:c>
      <x:c r="C188" t="str">
        <x:v>Gigi Palsu Plastik Vespa Super Import</x:v>
      </x:c>
      <x:c r="D188" t="str">
        <x:v>Mesin</x:v>
      </x:c>
      <x:c r="E188" t="str">
        <x:v>SUPER</x:v>
      </x:c>
      <x:c r="F188" t="str"/>
      <x:c r="G188" s="12" t="n">
        <x:v>25</x:v>
      </x:c>
      <x:c r="H188" s="12" t="n">
        <x:v>25</x:v>
      </x:c>
      <x:c r="I188" s="12" t="n">
        <x:v>0</x:v>
      </x:c>
      <x:c r="J188" s="16" t="n">
        <x:v>0</x:v>
      </x:c>
      <x:c r="K188" s="14" t="n">
        <x:v>8</x:v>
      </x:c>
      <x:c r="L188" s="14" t="n">
        <x:v>1</x:v>
      </x:c>
      <x:c r="M188" t="str">
        <x:v>READY</x:v>
      </x:c>
      <x:c r="N188" t="str">
        <x:v>AKTIF</x:v>
      </x:c>
      <x:c r="O188" t="str"/>
      <x:c r="P188" t="str"/>
      <x:c r="Q188" t="str"/>
      <x:c r="R188" t="str"/>
      <x:c r="S188" t="str"/>
      <x:c r="T188" t="str"/>
      <x:c r="U188" s="18" t="n">
        <x:v>46134.041666666664</x:v>
      </x:c>
      <x:c r="V188" t="str">
        <x:v>INITIAL_IMPORT</x:v>
      </x:c>
    </x:row>
    <x:row r="189">
      <x:c r="A189" t="str">
        <x:v>PRD-JVS-0188</x:v>
      </x:c>
      <x:c r="B189" t="str">
        <x:v>JVS-0188</x:v>
      </x:c>
      <x:c r="C189" t="str">
        <x:v>Gigi Palsu Vespa Super Besi Import</x:v>
      </x:c>
      <x:c r="D189" t="str">
        <x:v>Mesin</x:v>
      </x:c>
      <x:c r="E189" t="str">
        <x:v>SUPER</x:v>
      </x:c>
      <x:c r="F189" t="str"/>
      <x:c r="G189" s="12" t="n">
        <x:v>30</x:v>
      </x:c>
      <x:c r="H189" s="12" t="n">
        <x:v>30</x:v>
      </x:c>
      <x:c r="I189" s="12" t="n">
        <x:v>0</x:v>
      </x:c>
      <x:c r="J189" s="16" t="n">
        <x:v>0</x:v>
      </x:c>
      <x:c r="K189" s="14" t="n">
        <x:v>0</x:v>
      </x:c>
      <x:c r="L189" s="14" t="n">
        <x:v>1</x:v>
      </x:c>
      <x:c r="M189" t="str">
        <x:v>OUT OF STOCK</x:v>
      </x:c>
      <x:c r="N189" t="str">
        <x:v>AKTIF</x:v>
      </x:c>
      <x:c r="O189" t="str"/>
      <x:c r="P189" t="str"/>
      <x:c r="Q189" t="str"/>
      <x:c r="R189" t="str"/>
      <x:c r="S189" t="str"/>
      <x:c r="T189" t="str"/>
      <x:c r="U189" s="18" t="n">
        <x:v>46134.041666666664</x:v>
      </x:c>
      <x:c r="V189" t="str">
        <x:v>INITIAL_IMPORT</x:v>
      </x:c>
    </x:row>
    <x:row r="190">
      <x:c r="A190" t="str">
        <x:v>PRD-JVS-0189</x:v>
      </x:c>
      <x:c r="B190" t="str">
        <x:v>JVS-0189</x:v>
      </x:c>
      <x:c r="C190" t="str">
        <x:v>Gigi Selah Matahari 12 G Excel PXE Import</x:v>
      </x:c>
      <x:c r="D190" t="str">
        <x:v>Mesin</x:v>
      </x:c>
      <x:c r="E190" t="str">
        <x:v>EXCEL, PXE, PX</x:v>
      </x:c>
      <x:c r="F190" t="str"/>
      <x:c r="G190" s="12" t="n">
        <x:v>38</x:v>
      </x:c>
      <x:c r="H190" s="12" t="n">
        <x:v>38</x:v>
      </x:c>
      <x:c r="I190" s="12" t="n">
        <x:v>0</x:v>
      </x:c>
      <x:c r="J190" s="16" t="n">
        <x:v>0</x:v>
      </x:c>
      <x:c r="K190" s="14" t="n">
        <x:v>4</x:v>
      </x:c>
      <x:c r="L190" s="14" t="n">
        <x:v>1</x:v>
      </x:c>
      <x:c r="M190" t="str">
        <x:v>READY</x:v>
      </x:c>
      <x:c r="N190" t="str">
        <x:v>AKTIF</x:v>
      </x:c>
      <x:c r="O190" t="str"/>
      <x:c r="P190" t="str"/>
      <x:c r="Q190" t="str"/>
      <x:c r="R190" t="str"/>
      <x:c r="S190" t="str"/>
      <x:c r="T190" t="str"/>
      <x:c r="U190" s="18" t="n">
        <x:v>46134.041666666664</x:v>
      </x:c>
      <x:c r="V190" t="str">
        <x:v>INITIAL_IMPORT</x:v>
      </x:c>
    </x:row>
    <x:row r="191">
      <x:c r="A191" t="str">
        <x:v>PRD-JVS-0190</x:v>
      </x:c>
      <x:c r="B191" t="str">
        <x:v>JVS-0190</x:v>
      </x:c>
      <x:c r="C191" t="str">
        <x:v>Gigi Selah Matahari 12 G Sprint PX Import</x:v>
      </x:c>
      <x:c r="D191" t="str">
        <x:v>Mesin</x:v>
      </x:c>
      <x:c r="E191" t="str">
        <x:v>PX, SPRINT</x:v>
      </x:c>
      <x:c r="F191" t="str"/>
      <x:c r="G191" s="12" t="n">
        <x:v>38</x:v>
      </x:c>
      <x:c r="H191" s="12" t="n">
        <x:v>38</x:v>
      </x:c>
      <x:c r="I191" s="12" t="n">
        <x:v>0</x:v>
      </x:c>
      <x:c r="J191" s="16" t="n">
        <x:v>0</x:v>
      </x:c>
      <x:c r="K191" s="14" t="n">
        <x:v>3</x:v>
      </x:c>
      <x:c r="L191" s="14" t="n">
        <x:v>1</x:v>
      </x:c>
      <x:c r="M191" t="str">
        <x:v>READY</x:v>
      </x:c>
      <x:c r="N191" t="str">
        <x:v>AKTIF</x:v>
      </x:c>
      <x:c r="O191" t="str"/>
      <x:c r="P191" t="str"/>
      <x:c r="Q191" t="str"/>
      <x:c r="R191" t="str"/>
      <x:c r="S191" t="str"/>
      <x:c r="T191" t="str"/>
      <x:c r="U191" s="18" t="n">
        <x:v>46134.041666666664</x:v>
      </x:c>
      <x:c r="V191" t="str">
        <x:v>INITIAL_IMPORT</x:v>
      </x:c>
    </x:row>
    <x:row r="192">
      <x:c r="A192" t="str">
        <x:v>PRD-JVS-0191</x:v>
      </x:c>
      <x:c r="B192" t="str">
        <x:v>JVS-0191</x:v>
      </x:c>
      <x:c r="C192" t="str">
        <x:v>Gigi Selah Matahari 13 G PS Import</x:v>
      </x:c>
      <x:c r="D192" t="str">
        <x:v>Mesin</x:v>
      </x:c>
      <x:c r="E192" t="str">
        <x:v>PS</x:v>
      </x:c>
      <x:c r="F192" t="str"/>
      <x:c r="G192" s="12" t="n">
        <x:v>35</x:v>
      </x:c>
      <x:c r="H192" s="12" t="n">
        <x:v>35</x:v>
      </x:c>
      <x:c r="I192" s="12" t="n">
        <x:v>0</x:v>
      </x:c>
      <x:c r="J192" s="16" t="n">
        <x:v>0</x:v>
      </x:c>
      <x:c r="K192" s="14" t="n">
        <x:v>2</x:v>
      </x:c>
      <x:c r="L192" s="14" t="n">
        <x:v>1</x:v>
      </x:c>
      <x:c r="M192" t="str">
        <x:v>READY</x:v>
      </x:c>
      <x:c r="N192" t="str">
        <x:v>AKTIF</x:v>
      </x:c>
      <x:c r="O192" t="str"/>
      <x:c r="P192" t="str"/>
      <x:c r="Q192" t="str"/>
      <x:c r="R192" t="str"/>
      <x:c r="S192" t="str"/>
      <x:c r="T192" t="str"/>
      <x:c r="U192" s="18" t="n">
        <x:v>46134.041666666664</x:v>
      </x:c>
      <x:c r="V192" t="str">
        <x:v>INITIAL_IMPORT</x:v>
      </x:c>
    </x:row>
    <x:row r="193">
      <x:c r="A193" t="str">
        <x:v>PRD-JVS-0192</x:v>
      </x:c>
      <x:c r="B193" t="str">
        <x:v>JVS-0192</x:v>
      </x:c>
      <x:c r="C193" t="str">
        <x:v>Gigi Selah Matahari 13 G Super Import</x:v>
      </x:c>
      <x:c r="D193" t="str">
        <x:v>Mesin</x:v>
      </x:c>
      <x:c r="E193" t="str">
        <x:v>SUPER</x:v>
      </x:c>
      <x:c r="F193" t="str"/>
      <x:c r="G193" s="12" t="n">
        <x:v>38</x:v>
      </x:c>
      <x:c r="H193" s="12" t="n">
        <x:v>38</x:v>
      </x:c>
      <x:c r="I193" s="12" t="n">
        <x:v>0</x:v>
      </x:c>
      <x:c r="J193" s="16" t="n">
        <x:v>0</x:v>
      </x:c>
      <x:c r="K193" s="14" t="n">
        <x:v>7</x:v>
      </x:c>
      <x:c r="L193" s="14" t="n">
        <x:v>1</x:v>
      </x:c>
      <x:c r="M193" t="str">
        <x:v>READY</x:v>
      </x:c>
      <x:c r="N193" t="str">
        <x:v>AKTIF</x:v>
      </x:c>
      <x:c r="O193" t="str"/>
      <x:c r="P193" t="str"/>
      <x:c r="Q193" t="str"/>
      <x:c r="R193" t="str"/>
      <x:c r="S193" t="str"/>
      <x:c r="T193" t="str"/>
      <x:c r="U193" s="18" t="n">
        <x:v>46134.041666666664</x:v>
      </x:c>
      <x:c r="V193" t="str">
        <x:v>INITIAL_IMPORT</x:v>
      </x:c>
    </x:row>
    <x:row r="194">
      <x:c r="A194" t="str">
        <x:v>PRD-JVS-0193</x:v>
      </x:c>
      <x:c r="B194" t="str">
        <x:v>JVS-0193</x:v>
      </x:c>
      <x:c r="C194" t="str">
        <x:v>Gigi Selah Matahari 13 G Vespa Super Danmtor</x:v>
      </x:c>
      <x:c r="D194" t="str">
        <x:v>Mesin</x:v>
      </x:c>
      <x:c r="E194" t="str">
        <x:v>SUPER</x:v>
      </x:c>
      <x:c r="F194" t="str"/>
      <x:c r="G194" s="12" t="n">
        <x:v>80</x:v>
      </x:c>
      <x:c r="H194" s="12" t="n">
        <x:v>80</x:v>
      </x:c>
      <x:c r="I194" s="12" t="n">
        <x:v>0</x:v>
      </x:c>
      <x:c r="J194" s="16" t="n">
        <x:v>0</x:v>
      </x:c>
      <x:c r="K194" s="14" t="n">
        <x:v>3</x:v>
      </x:c>
      <x:c r="L194" s="14" t="n">
        <x:v>1</x:v>
      </x:c>
      <x:c r="M194" t="str">
        <x:v>READY</x:v>
      </x:c>
      <x:c r="N194" t="str">
        <x:v>AKTIF</x:v>
      </x:c>
      <x:c r="O194" t="str"/>
      <x:c r="P194" t="str"/>
      <x:c r="Q194" t="str"/>
      <x:c r="R194" t="str"/>
      <x:c r="S194" t="str"/>
      <x:c r="T194" t="str"/>
      <x:c r="U194" s="18" t="n">
        <x:v>46134.041666666664</x:v>
      </x:c>
      <x:c r="V194" t="str">
        <x:v>INITIAL_IMPORT</x:v>
      </x:c>
    </x:row>
    <x:row r="195">
      <x:c r="A195" t="str">
        <x:v>PRD-JVS-0194</x:v>
      </x:c>
      <x:c r="B195" t="str">
        <x:v>JVS-0194</x:v>
      </x:c>
      <x:c r="C195" t="str">
        <x:v>Gigi Silang Kris Vespa 65 Super lama Tahun Tua</x:v>
      </x:c>
      <x:c r="D195" t="str">
        <x:v>Mesin</x:v>
      </x:c>
      <x:c r="E195" t="str">
        <x:v>SUPER</x:v>
      </x:c>
      <x:c r="F195" t="str"/>
      <x:c r="G195" s="12" t="n">
        <x:v>45</x:v>
      </x:c>
      <x:c r="H195" s="12" t="n">
        <x:v>45</x:v>
      </x:c>
      <x:c r="I195" s="12" t="n">
        <x:v>0</x:v>
      </x:c>
      <x:c r="J195" s="16" t="n">
        <x:v>0</x:v>
      </x:c>
      <x:c r="K195" s="14" t="n">
        <x:v>9</x:v>
      </x:c>
      <x:c r="L195" s="14" t="n">
        <x:v>1</x:v>
      </x:c>
      <x:c r="M195" t="str">
        <x:v>READY</x:v>
      </x:c>
      <x:c r="N195" t="str">
        <x:v>AKTIF</x:v>
      </x:c>
      <x:c r="O195" t="str"/>
      <x:c r="P195" t="str"/>
      <x:c r="Q195" t="str"/>
      <x:c r="R195" t="str"/>
      <x:c r="S195" t="str"/>
      <x:c r="T195" t="str"/>
      <x:c r="U195" s="18" t="n">
        <x:v>46134.041666666664</x:v>
      </x:c>
      <x:c r="V195" t="str">
        <x:v>INITIAL_IMPORT</x:v>
      </x:c>
    </x:row>
    <x:row r="196">
      <x:c r="A196" t="str">
        <x:v>PRD-JVS-0195</x:v>
      </x:c>
      <x:c r="B196" t="str">
        <x:v>JVS-0195</x:v>
      </x:c>
      <x:c r="C196" t="str">
        <x:v>Gigi Silang Kris Vespa Excel Exclusive Spartan Palang Kris Import Vesgio/PA/GR Lokal</x:v>
      </x:c>
      <x:c r="D196" t="str">
        <x:v>Mesin</x:v>
      </x:c>
      <x:c r="E196" t="str">
        <x:v>EXCEL, EXCLUSIVE, SPARTAN</x:v>
      </x:c>
      <x:c r="F196" t="str"/>
      <x:c r="G196" s="12" t="n">
        <x:v>35</x:v>
      </x:c>
      <x:c r="H196" s="12" t="n">
        <x:v>35</x:v>
      </x:c>
      <x:c r="I196" s="12" t="n">
        <x:v>0</x:v>
      </x:c>
      <x:c r="J196" s="16" t="n">
        <x:v>0</x:v>
      </x:c>
      <x:c r="K196" s="14" t="n">
        <x:v>1</x:v>
      </x:c>
      <x:c r="L196" s="14" t="n">
        <x:v>1</x:v>
      </x:c>
      <x:c r="M196" t="str">
        <x:v>LOW</x:v>
      </x:c>
      <x:c r="N196" t="str">
        <x:v>AKTIF</x:v>
      </x:c>
      <x:c r="O196" t="str"/>
      <x:c r="P196" t="str"/>
      <x:c r="Q196" t="str"/>
      <x:c r="R196" t="str"/>
      <x:c r="S196" t="str"/>
      <x:c r="T196" t="str"/>
      <x:c r="U196" s="18" t="n">
        <x:v>46134.041666666664</x:v>
      </x:c>
      <x:c r="V196" t="str">
        <x:v>INITIAL_IMPORT</x:v>
      </x:c>
    </x:row>
    <x:row r="197">
      <x:c r="A197" t="str">
        <x:v>PRD-JVS-0196</x:v>
      </x:c>
      <x:c r="B197" t="str">
        <x:v>JVS-0196</x:v>
      </x:c>
      <x:c r="C197" t="str">
        <x:v>Gigi Silang Kris Vespa Excel Merk Danmotor</x:v>
      </x:c>
      <x:c r="D197" t="str">
        <x:v>Mesin</x:v>
      </x:c>
      <x:c r="E197" t="str">
        <x:v>EXCEL</x:v>
      </x:c>
      <x:c r="F197" t="str"/>
      <x:c r="G197" s="12" t="n">
        <x:v>80</x:v>
      </x:c>
      <x:c r="H197" s="12" t="n">
        <x:v>80</x:v>
      </x:c>
      <x:c r="I197" s="12" t="n">
        <x:v>0</x:v>
      </x:c>
      <x:c r="J197" s="16" t="n">
        <x:v>0</x:v>
      </x:c>
      <x:c r="K197" s="14" t="n">
        <x:v>1</x:v>
      </x:c>
      <x:c r="L197" s="14" t="n">
        <x:v>1</x:v>
      </x:c>
      <x:c r="M197" t="str">
        <x:v>LOW</x:v>
      </x:c>
      <x:c r="N197" t="str">
        <x:v>AKTIF</x:v>
      </x:c>
      <x:c r="O197" t="str"/>
      <x:c r="P197" t="str"/>
      <x:c r="Q197" t="str"/>
      <x:c r="R197" t="str"/>
      <x:c r="S197" t="str"/>
      <x:c r="T197" t="str"/>
      <x:c r="U197" s="18" t="n">
        <x:v>46134.041666666664</x:v>
      </x:c>
      <x:c r="V197" t="str">
        <x:v>INITIAL_IMPORT</x:v>
      </x:c>
    </x:row>
    <x:row r="198">
      <x:c r="A198" t="str">
        <x:v>PRD-JVS-0197</x:v>
      </x:c>
      <x:c r="B198" t="str">
        <x:v>JVS-0197</x:v>
      </x:c>
      <x:c r="C198" t="str">
        <x:v>Gigi Silang Kris Vespa Excel Merk VIVO / Vesgio</x:v>
      </x:c>
      <x:c r="D198" t="str">
        <x:v>Mesin</x:v>
      </x:c>
      <x:c r="E198" t="str">
        <x:v>EXCEL</x:v>
      </x:c>
      <x:c r="F198" t="str"/>
      <x:c r="G198" s="12" t="n">
        <x:v>60</x:v>
      </x:c>
      <x:c r="H198" s="12" t="n">
        <x:v>60</x:v>
      </x:c>
      <x:c r="I198" s="12" t="n">
        <x:v>0</x:v>
      </x:c>
      <x:c r="J198" s="16" t="n">
        <x:v>0</x:v>
      </x:c>
      <x:c r="K198" s="14" t="n">
        <x:v>2</x:v>
      </x:c>
      <x:c r="L198" s="14" t="n">
        <x:v>1</x:v>
      </x:c>
      <x:c r="M198" t="str">
        <x:v>READY</x:v>
      </x:c>
      <x:c r="N198" t="str">
        <x:v>AKTIF</x:v>
      </x:c>
      <x:c r="O198" t="str"/>
      <x:c r="P198" t="str"/>
      <x:c r="Q198" t="str"/>
      <x:c r="R198" t="str"/>
      <x:c r="S198" t="str"/>
      <x:c r="T198" t="str"/>
      <x:c r="U198" s="18" t="n">
        <x:v>46134.041666666664</x:v>
      </x:c>
      <x:c r="V198" t="str">
        <x:v>INITIAL_IMPORT</x:v>
      </x:c>
    </x:row>
    <x:row r="199">
      <x:c r="A199" t="str">
        <x:v>PRD-JVS-0198</x:v>
      </x:c>
      <x:c r="B199" t="str">
        <x:v>JVS-0198</x:v>
      </x:c>
      <x:c r="C199" t="str">
        <x:v>Gigi Silang Kris Vespa PX Merk Vesgio/PA/GR Lokal</x:v>
      </x:c>
      <x:c r="D199" t="str">
        <x:v>Mesin</x:v>
      </x:c>
      <x:c r="E199" t="str">
        <x:v>PX</x:v>
      </x:c>
      <x:c r="F199" t="str"/>
      <x:c r="G199" s="12" t="n">
        <x:v>45</x:v>
      </x:c>
      <x:c r="H199" s="12" t="n">
        <x:v>45</x:v>
      </x:c>
      <x:c r="I199" s="12" t="n">
        <x:v>0</x:v>
      </x:c>
      <x:c r="J199" s="16" t="n">
        <x:v>0</x:v>
      </x:c>
      <x:c r="K199" s="14" t="n">
        <x:v>2</x:v>
      </x:c>
      <x:c r="L199" s="14" t="n">
        <x:v>1</x:v>
      </x:c>
      <x:c r="M199" t="str">
        <x:v>READY</x:v>
      </x:c>
      <x:c r="N199" t="str">
        <x:v>AKTIF</x:v>
      </x:c>
      <x:c r="O199" t="str"/>
      <x:c r="P199" t="str"/>
      <x:c r="Q199" t="str"/>
      <x:c r="R199" t="str"/>
      <x:c r="S199" t="str"/>
      <x:c r="T199" t="str"/>
      <x:c r="U199" s="18" t="n">
        <x:v>46134.041666666664</x:v>
      </x:c>
      <x:c r="V199" t="str">
        <x:v>INITIAL_IMPORT</x:v>
      </x:c>
    </x:row>
    <x:row r="200">
      <x:c r="A200" t="str">
        <x:v>PRD-JVS-0199</x:v>
      </x:c>
      <x:c r="B200" t="str">
        <x:v>JVS-0199</x:v>
      </x:c>
      <x:c r="C200" t="str">
        <x:v>Gigi Spedometer Nanas Vespa Excel</x:v>
      </x:c>
      <x:c r="D200" t="str">
        <x:v>Mesin</x:v>
      </x:c>
      <x:c r="E200" t="str">
        <x:v>EXCEL</x:v>
      </x:c>
      <x:c r="F200" t="str"/>
      <x:c r="G200" s="12" t="n">
        <x:v>15</x:v>
      </x:c>
      <x:c r="H200" s="12" t="n">
        <x:v>15</x:v>
      </x:c>
      <x:c r="I200" s="12" t="n">
        <x:v>0</x:v>
      </x:c>
      <x:c r="J200" s="16" t="n">
        <x:v>0</x:v>
      </x:c>
      <x:c r="K200" s="14" t="n">
        <x:v>4</x:v>
      </x:c>
      <x:c r="L200" s="14" t="n">
        <x:v>1</x:v>
      </x:c>
      <x:c r="M200" t="str">
        <x:v>READY</x:v>
      </x:c>
      <x:c r="N200" t="str">
        <x:v>AKTIF</x:v>
      </x:c>
      <x:c r="O200" t="str"/>
      <x:c r="P200" t="str"/>
      <x:c r="Q200" t="str"/>
      <x:c r="R200" t="str"/>
      <x:c r="S200" t="str"/>
      <x:c r="T200" t="str"/>
      <x:c r="U200" s="18" t="n">
        <x:v>46134.041666666664</x:v>
      </x:c>
      <x:c r="V200" t="str">
        <x:v>INITIAL_IMPORT</x:v>
      </x:c>
    </x:row>
    <x:row r="201">
      <x:c r="A201" t="str">
        <x:v>PRD-JVS-0200</x:v>
      </x:c>
      <x:c r="B201" t="str">
        <x:v>JVS-0200</x:v>
      </x:c>
      <x:c r="C201" t="str">
        <x:v>Gigi Spedometer Nanas Vespa PX</x:v>
      </x:c>
      <x:c r="D201" t="str">
        <x:v>Mesin</x:v>
      </x:c>
      <x:c r="E201" t="str">
        <x:v>PX</x:v>
      </x:c>
      <x:c r="F201" t="str"/>
      <x:c r="G201" s="12" t="n">
        <x:v>13</x:v>
      </x:c>
      <x:c r="H201" s="12" t="n">
        <x:v>13</x:v>
      </x:c>
      <x:c r="I201" s="12" t="n">
        <x:v>0</x:v>
      </x:c>
      <x:c r="J201" s="16" t="n">
        <x:v>0</x:v>
      </x:c>
      <x:c r="K201" s="14" t="n">
        <x:v>2</x:v>
      </x:c>
      <x:c r="L201" s="14" t="n">
        <x:v>1</x:v>
      </x:c>
      <x:c r="M201" t="str">
        <x:v>READY</x:v>
      </x:c>
      <x:c r="N201" t="str">
        <x:v>AKTIF</x:v>
      </x:c>
      <x:c r="O201" t="str"/>
      <x:c r="P201" t="str"/>
      <x:c r="Q201" t="str"/>
      <x:c r="R201" t="str"/>
      <x:c r="S201" t="str"/>
      <x:c r="T201" t="str"/>
      <x:c r="U201" s="18" t="n">
        <x:v>46134.041666666664</x:v>
      </x:c>
      <x:c r="V201" t="str">
        <x:v>INITIAL_IMPORT</x:v>
      </x:c>
    </x:row>
    <x:row r="202">
      <x:c r="A202" t="str">
        <x:v>PRD-JVS-0201</x:v>
      </x:c>
      <x:c r="B202" t="str">
        <x:v>JVS-0201</x:v>
      </x:c>
      <x:c r="C202" t="str">
        <x:v>Gigi Spedometer Nanas Vespa Super Biru Bagus</x:v>
      </x:c>
      <x:c r="D202" t="str">
        <x:v>Mesin</x:v>
      </x:c>
      <x:c r="E202" t="str">
        <x:v>SUPER</x:v>
      </x:c>
      <x:c r="F202" t="str"/>
      <x:c r="G202" s="12" t="n">
        <x:v>38</x:v>
      </x:c>
      <x:c r="H202" s="12" t="n">
        <x:v>38</x:v>
      </x:c>
      <x:c r="I202" s="12" t="n">
        <x:v>0</x:v>
      </x:c>
      <x:c r="J202" s="16" t="n">
        <x:v>0</x:v>
      </x:c>
      <x:c r="K202" s="14" t="n">
        <x:v>1</x:v>
      </x:c>
      <x:c r="L202" s="14" t="n">
        <x:v>1</x:v>
      </x:c>
      <x:c r="M202" t="str">
        <x:v>LOW</x:v>
      </x:c>
      <x:c r="N202" t="str">
        <x:v>AKTIF</x:v>
      </x:c>
      <x:c r="O202" t="str"/>
      <x:c r="P202" t="str"/>
      <x:c r="Q202" t="str"/>
      <x:c r="R202" t="str"/>
      <x:c r="S202" t="str"/>
      <x:c r="T202" t="str"/>
      <x:c r="U202" s="18" t="n">
        <x:v>46134.041666666664</x:v>
      </x:c>
      <x:c r="V202" t="str">
        <x:v>INITIAL_IMPORT</x:v>
      </x:c>
    </x:row>
    <x:row r="203">
      <x:c r="A203" t="str">
        <x:v>PRD-JVS-0202</x:v>
      </x:c>
      <x:c r="B203" t="str">
        <x:v>JVS-0202</x:v>
      </x:c>
      <x:c r="C203" t="str">
        <x:v>Gigi Spedometer Nanas Vespa Super Kuning</x:v>
      </x:c>
      <x:c r="D203" t="str">
        <x:v>Mesin</x:v>
      </x:c>
      <x:c r="E203" t="str">
        <x:v>SUPER</x:v>
      </x:c>
      <x:c r="F203" t="str"/>
      <x:c r="G203" s="12" t="n">
        <x:v>13</x:v>
      </x:c>
      <x:c r="H203" s="12" t="n">
        <x:v>13</x:v>
      </x:c>
      <x:c r="I203" s="12" t="n">
        <x:v>0</x:v>
      </x:c>
      <x:c r="J203" s="16" t="n">
        <x:v>0</x:v>
      </x:c>
      <x:c r="K203" s="14" t="n">
        <x:v>1</x:v>
      </x:c>
      <x:c r="L203" s="14" t="n">
        <x:v>1</x:v>
      </x:c>
      <x:c r="M203" t="str">
        <x:v>LOW</x:v>
      </x:c>
      <x:c r="N203" t="str">
        <x:v>AKTIF</x:v>
      </x:c>
      <x:c r="O203" t="str"/>
      <x:c r="P203" t="str"/>
      <x:c r="Q203" t="str"/>
      <x:c r="R203" t="str"/>
      <x:c r="S203" t="str"/>
      <x:c r="T203" t="str"/>
      <x:c r="U203" s="18" t="n">
        <x:v>46134.041666666664</x:v>
      </x:c>
      <x:c r="V203" t="str">
        <x:v>INITIAL_IMPORT</x:v>
      </x:c>
    </x:row>
    <x:row r="204">
      <x:c r="A204" t="str">
        <x:v>PRD-JVS-0203</x:v>
      </x:c>
      <x:c r="B204" t="str">
        <x:v>JVS-0203</x:v>
      </x:c>
      <x:c r="C204" t="str">
        <x:v>Gobangan Racing Vespa</x:v>
      </x:c>
      <x:c r="D204" t="str">
        <x:v>Aksesoris</x:v>
      </x:c>
      <x:c r="E204" t="str"/>
      <x:c r="F204" t="str"/>
      <x:c r="G204" s="12" t="n">
        <x:v>45</x:v>
      </x:c>
      <x:c r="H204" s="12" t="n">
        <x:v>45</x:v>
      </x:c>
      <x:c r="I204" s="12" t="n">
        <x:v>0</x:v>
      </x:c>
      <x:c r="J204" s="16" t="n">
        <x:v>0</x:v>
      </x:c>
      <x:c r="K204" s="14" t="n">
        <x:v>0</x:v>
      </x:c>
      <x:c r="L204" s="14" t="n">
        <x:v>1</x:v>
      </x:c>
      <x:c r="M204" t="str">
        <x:v>OUT OF STOCK</x:v>
      </x:c>
      <x:c r="N204" t="str">
        <x:v>AKTIF</x:v>
      </x:c>
      <x:c r="O204" t="str"/>
      <x:c r="P204" t="str"/>
      <x:c r="Q204" t="str"/>
      <x:c r="R204" t="str"/>
      <x:c r="S204" t="str"/>
      <x:c r="T204" t="str"/>
      <x:c r="U204" s="18" t="n">
        <x:v>46134.041666666664</x:v>
      </x:c>
      <x:c r="V204" t="str">
        <x:v>INITIAL_IMPORT</x:v>
      </x:c>
    </x:row>
    <x:row r="205">
      <x:c r="A205" t="str">
        <x:v>PRD-JVS-0204</x:v>
      </x:c>
      <x:c r="B205" t="str">
        <x:v>JVS-0204</x:v>
      </x:c>
      <x:c r="C205" t="str">
        <x:v>Gobangan Saja Kopling per 6</x:v>
      </x:c>
      <x:c r="D205" t="str">
        <x:v>Mesin</x:v>
      </x:c>
      <x:c r="E205" t="str"/>
      <x:c r="F205" t="str"/>
      <x:c r="G205" s="12" t="n">
        <x:v>10</x:v>
      </x:c>
      <x:c r="H205" s="12" t="n">
        <x:v>10</x:v>
      </x:c>
      <x:c r="I205" s="12" t="n">
        <x:v>0</x:v>
      </x:c>
      <x:c r="J205" s="16" t="n">
        <x:v>0</x:v>
      </x:c>
      <x:c r="K205" s="14" t="n">
        <x:v>2</x:v>
      </x:c>
      <x:c r="L205" s="14" t="n">
        <x:v>1</x:v>
      </x:c>
      <x:c r="M205" t="str">
        <x:v>READY</x:v>
      </x:c>
      <x:c r="N205" t="str">
        <x:v>AKTIF</x:v>
      </x:c>
      <x:c r="O205" t="str"/>
      <x:c r="P205" t="str"/>
      <x:c r="Q205" t="str"/>
      <x:c r="R205" t="str"/>
      <x:c r="S205" t="str"/>
      <x:c r="T205" t="str"/>
      <x:c r="U205" s="18" t="n">
        <x:v>46134.041666666664</x:v>
      </x:c>
      <x:c r="V205" t="str">
        <x:v>INITIAL_IMPORT</x:v>
      </x:c>
    </x:row>
    <x:row r="206">
      <x:c r="A206" t="str">
        <x:v>PRD-JVS-0205</x:v>
      </x:c>
      <x:c r="B206" t="str">
        <x:v>JVS-0205</x:v>
      </x:c>
      <x:c r="C206" t="str">
        <x:v>Gobangan Saja Kopling per 7</x:v>
      </x:c>
      <x:c r="D206" t="str">
        <x:v>Mesin</x:v>
      </x:c>
      <x:c r="E206" t="str"/>
      <x:c r="F206" t="str"/>
      <x:c r="G206" s="12" t="n">
        <x:v>12</x:v>
      </x:c>
      <x:c r="H206" s="12" t="n">
        <x:v>12</x:v>
      </x:c>
      <x:c r="I206" s="12" t="n">
        <x:v>0</x:v>
      </x:c>
      <x:c r="J206" s="16" t="n">
        <x:v>0</x:v>
      </x:c>
      <x:c r="K206" s="14" t="n">
        <x:v>12</x:v>
      </x:c>
      <x:c r="L206" s="14" t="n">
        <x:v>1</x:v>
      </x:c>
      <x:c r="M206" t="str">
        <x:v>READY</x:v>
      </x:c>
      <x:c r="N206" t="str">
        <x:v>AKTIF</x:v>
      </x:c>
      <x:c r="O206" t="str"/>
      <x:c r="P206" t="str"/>
      <x:c r="Q206" t="str"/>
      <x:c r="R206" t="str"/>
      <x:c r="S206" t="str"/>
      <x:c r="T206" t="str"/>
      <x:c r="U206" s="18" t="n">
        <x:v>46134.041666666664</x:v>
      </x:c>
      <x:c r="V206" t="str">
        <x:v>INITIAL_IMPORT</x:v>
      </x:c>
    </x:row>
    <x:row r="207">
      <x:c r="A207" t="str">
        <x:v>PRD-JVS-0206</x:v>
      </x:c>
      <x:c r="B207" t="str">
        <x:v>JVS-0206</x:v>
      </x:c>
      <x:c r="C207" t="str">
        <x:v>Gobangan Set Merk Vesgio Per 6</x:v>
      </x:c>
      <x:c r="D207" t="str">
        <x:v>Servis</x:v>
      </x:c>
      <x:c r="E207" t="str"/>
      <x:c r="F207" t="str"/>
      <x:c r="G207" s="12" t="n">
        <x:v>38</x:v>
      </x:c>
      <x:c r="H207" s="12" t="n">
        <x:v>38</x:v>
      </x:c>
      <x:c r="I207" s="12" t="n">
        <x:v>0</x:v>
      </x:c>
      <x:c r="J207" s="16" t="n">
        <x:v>0</x:v>
      </x:c>
      <x:c r="K207" s="14" t="n">
        <x:v>2</x:v>
      </x:c>
      <x:c r="L207" s="14" t="n">
        <x:v>1</x:v>
      </x:c>
      <x:c r="M207" t="str">
        <x:v>READY</x:v>
      </x:c>
      <x:c r="N207" t="str">
        <x:v>AKTIF</x:v>
      </x:c>
      <x:c r="O207" t="str"/>
      <x:c r="P207" t="str"/>
      <x:c r="Q207" t="str"/>
      <x:c r="R207" t="str"/>
      <x:c r="S207" t="str"/>
      <x:c r="T207" t="str"/>
      <x:c r="U207" s="18" t="n">
        <x:v>46134.041666666664</x:v>
      </x:c>
      <x:c r="V207" t="str">
        <x:v>INITIAL_IMPORT</x:v>
      </x:c>
    </x:row>
    <x:row r="208">
      <x:c r="A208" t="str">
        <x:v>PRD-JVS-0207</x:v>
      </x:c>
      <x:c r="B208" t="str">
        <x:v>JVS-0207</x:v>
      </x:c>
      <x:c r="C208" t="str">
        <x:v>Gobangan Set Merk vesgio per 7</x:v>
      </x:c>
      <x:c r="D208" t="str">
        <x:v>Servis</x:v>
      </x:c>
      <x:c r="E208" t="str"/>
      <x:c r="F208" t="str"/>
      <x:c r="G208" s="12" t="n">
        <x:v>38</x:v>
      </x:c>
      <x:c r="H208" s="12" t="n">
        <x:v>38</x:v>
      </x:c>
      <x:c r="I208" s="12" t="n">
        <x:v>0</x:v>
      </x:c>
      <x:c r="J208" s="16" t="n">
        <x:v>0</x:v>
      </x:c>
      <x:c r="K208" s="14" t="n">
        <x:v>3</x:v>
      </x:c>
      <x:c r="L208" s="14" t="n">
        <x:v>1</x:v>
      </x:c>
      <x:c r="M208" t="str">
        <x:v>READY</x:v>
      </x:c>
      <x:c r="N208" t="str">
        <x:v>AKTIF</x:v>
      </x:c>
      <x:c r="O208" t="str"/>
      <x:c r="P208" t="str"/>
      <x:c r="Q208" t="str"/>
      <x:c r="R208" t="str"/>
      <x:c r="S208" t="str"/>
      <x:c r="T208" t="str"/>
      <x:c r="U208" s="18" t="n">
        <x:v>46134.041666666664</x:v>
      </x:c>
      <x:c r="V208" t="str">
        <x:v>INITIAL_IMPORT</x:v>
      </x:c>
    </x:row>
    <x:row r="209">
      <x:c r="A209" t="str">
        <x:v>PRD-JVS-0208</x:v>
      </x:c>
      <x:c r="B209" t="str">
        <x:v>JVS-0208</x:v>
      </x:c>
      <x:c r="C209" t="str">
        <x:v>Grill Jaring HaedLamp Vespa PX</x:v>
      </x:c>
      <x:c r="D209" t="str">
        <x:v>Body</x:v>
      </x:c>
      <x:c r="E209" t="str">
        <x:v>PX</x:v>
      </x:c>
      <x:c r="F209" t="str"/>
      <x:c r="G209" s="12" t="n">
        <x:v>75</x:v>
      </x:c>
      <x:c r="H209" s="12" t="n">
        <x:v>75</x:v>
      </x:c>
      <x:c r="I209" s="12" t="n">
        <x:v>0</x:v>
      </x:c>
      <x:c r="J209" s="16" t="n">
        <x:v>0</x:v>
      </x:c>
      <x:c r="K209" s="14" t="n">
        <x:v>1</x:v>
      </x:c>
      <x:c r="L209" s="14" t="n">
        <x:v>1</x:v>
      </x:c>
      <x:c r="M209" t="str">
        <x:v>LOW</x:v>
      </x:c>
      <x:c r="N209" t="str">
        <x:v>AKTIF</x:v>
      </x:c>
      <x:c r="O209" t="str"/>
      <x:c r="P209" t="str"/>
      <x:c r="Q209" t="str"/>
      <x:c r="R209" t="str"/>
      <x:c r="S209" t="str"/>
      <x:c r="T209" t="str"/>
      <x:c r="U209" s="18" t="n">
        <x:v>46134.041666666664</x:v>
      </x:c>
      <x:c r="V209" t="str">
        <x:v>INITIAL_IMPORT</x:v>
      </x:c>
    </x:row>
    <x:row r="210">
      <x:c r="A210" t="str">
        <x:v>PRD-JVS-0209</x:v>
      </x:c>
      <x:c r="B210" t="str">
        <x:v>JVS-0209</x:v>
      </x:c>
      <x:c r="C210" t="str">
        <x:v>Grill Set Sein Vespa PX</x:v>
      </x:c>
      <x:c r="D210" t="str">
        <x:v>Body</x:v>
      </x:c>
      <x:c r="E210" t="str">
        <x:v>PX</x:v>
      </x:c>
      <x:c r="F210" t="str"/>
      <x:c r="G210" s="12" t="n">
        <x:v>110</x:v>
      </x:c>
      <x:c r="H210" s="12" t="n">
        <x:v>110</x:v>
      </x:c>
      <x:c r="I210" s="12" t="n">
        <x:v>0</x:v>
      </x:c>
      <x:c r="J210" s="16" t="n">
        <x:v>0</x:v>
      </x:c>
      <x:c r="K210" s="14" t="n">
        <x:v>0</x:v>
      </x:c>
      <x:c r="L210" s="14" t="n">
        <x:v>1</x:v>
      </x:c>
      <x:c r="M210" t="str">
        <x:v>OUT OF STOCK</x:v>
      </x:c>
      <x:c r="N210" t="str">
        <x:v>AKTIF</x:v>
      </x:c>
      <x:c r="O210" t="str"/>
      <x:c r="P210" t="str"/>
      <x:c r="Q210" t="str"/>
      <x:c r="R210" t="str"/>
      <x:c r="S210" t="str"/>
      <x:c r="T210" t="str"/>
      <x:c r="U210" s="18" t="n">
        <x:v>46134.041666666664</x:v>
      </x:c>
      <x:c r="V210" t="str">
        <x:v>INITIAL_IMPORT</x:v>
      </x:c>
    </x:row>
    <x:row r="211">
      <x:c r="A211" t="str">
        <x:v>PRD-JVS-0210</x:v>
      </x:c>
      <x:c r="B211" t="str">
        <x:v>JVS-0210</x:v>
      </x:c>
      <x:c r="C211" t="str">
        <x:v>Grill Set Sein Vespa XL</x:v>
      </x:c>
      <x:c r="D211" t="str">
        <x:v>Body</x:v>
      </x:c>
      <x:c r="E211" t="str">
        <x:v>XL</x:v>
      </x:c>
      <x:c r="F211" t="str"/>
      <x:c r="G211" s="12" t="n">
        <x:v>115</x:v>
      </x:c>
      <x:c r="H211" s="12" t="n">
        <x:v>115</x:v>
      </x:c>
      <x:c r="I211" s="12" t="n">
        <x:v>0</x:v>
      </x:c>
      <x:c r="J211" s="16" t="n">
        <x:v>0</x:v>
      </x:c>
      <x:c r="K211" s="14" t="n">
        <x:v>1</x:v>
      </x:c>
      <x:c r="L211" s="14" t="n">
        <x:v>1</x:v>
      </x:c>
      <x:c r="M211" t="str">
        <x:v>LOW</x:v>
      </x:c>
      <x:c r="N211" t="str">
        <x:v>AKTIF</x:v>
      </x:c>
      <x:c r="O211" t="str"/>
      <x:c r="P211" t="str"/>
      <x:c r="Q211" t="str"/>
      <x:c r="R211" t="str"/>
      <x:c r="S211" t="str"/>
      <x:c r="T211" t="str"/>
      <x:c r="U211" s="18" t="n">
        <x:v>46134.041666666664</x:v>
      </x:c>
      <x:c r="V211" t="str">
        <x:v>INITIAL_IMPORT</x:v>
      </x:c>
    </x:row>
    <x:row r="212">
      <x:c r="A212" t="str">
        <x:v>PRD-JVS-0211</x:v>
      </x:c>
      <x:c r="B212" t="str">
        <x:v>JVS-0211</x:v>
      </x:c>
      <x:c r="C212" t="str">
        <x:v>Grill Stoplamp Vespa PX PS Exclusive</x:v>
      </x:c>
      <x:c r="D212" t="str">
        <x:v>Body</x:v>
      </x:c>
      <x:c r="E212" t="str">
        <x:v>EXCLUSIVE, PX, PS</x:v>
      </x:c>
      <x:c r="F212" t="str"/>
      <x:c r="G212" s="12" t="n">
        <x:v>85</x:v>
      </x:c>
      <x:c r="H212" s="12" t="n">
        <x:v>85</x:v>
      </x:c>
      <x:c r="I212" s="12" t="n">
        <x:v>0</x:v>
      </x:c>
      <x:c r="J212" s="16" t="n">
        <x:v>0</x:v>
      </x:c>
      <x:c r="K212" s="14" t="n">
        <x:v>1</x:v>
      </x:c>
      <x:c r="L212" s="14" t="n">
        <x:v>1</x:v>
      </x:c>
      <x:c r="M212" t="str">
        <x:v>LOW</x:v>
      </x:c>
      <x:c r="N212" t="str">
        <x:v>AKTIF</x:v>
      </x:c>
      <x:c r="O212" t="str"/>
      <x:c r="P212" t="str"/>
      <x:c r="Q212" t="str"/>
      <x:c r="R212" t="str"/>
      <x:c r="S212" t="str"/>
      <x:c r="T212" t="str"/>
      <x:c r="U212" s="18" t="n">
        <x:v>46134.041666666664</x:v>
      </x:c>
      <x:c r="V212" t="str">
        <x:v>INITIAL_IMPORT</x:v>
      </x:c>
    </x:row>
    <x:row r="213">
      <x:c r="A213" t="str">
        <x:v>PRD-JVS-0212</x:v>
      </x:c>
      <x:c r="B213" t="str">
        <x:v>JVS-0212</x:v>
      </x:c>
      <x:c r="C213" t="str">
        <x:v>Handgrip Model Chung Replika Import Metalplast</x:v>
      </x:c>
      <x:c r="D213" t="str">
        <x:v>Body</x:v>
      </x:c>
      <x:c r="E213" t="str"/>
      <x:c r="F213" t="str"/>
      <x:c r="G213" s="12" t="n">
        <x:v>50</x:v>
      </x:c>
      <x:c r="H213" s="12" t="n">
        <x:v>50</x:v>
      </x:c>
      <x:c r="I213" s="12" t="n">
        <x:v>0</x:v>
      </x:c>
      <x:c r="J213" s="16" t="n">
        <x:v>0</x:v>
      </x:c>
      <x:c r="K213" s="14" t="n">
        <x:v>8</x:v>
      </x:c>
      <x:c r="L213" s="14" t="n">
        <x:v>1</x:v>
      </x:c>
      <x:c r="M213" t="str">
        <x:v>READY</x:v>
      </x:c>
      <x:c r="N213" t="str">
        <x:v>AKTIF</x:v>
      </x:c>
      <x:c r="O213" t="str"/>
      <x:c r="P213" t="str"/>
      <x:c r="Q213" t="str"/>
      <x:c r="R213" t="str"/>
      <x:c r="S213" t="str"/>
      <x:c r="T213" t="str"/>
      <x:c r="U213" s="18" t="n">
        <x:v>46134.041666666664</x:v>
      </x:c>
      <x:c r="V213" t="str">
        <x:v>INITIAL_IMPORT</x:v>
      </x:c>
    </x:row>
    <x:row r="214">
      <x:c r="A214" t="str">
        <x:v>PRD-JVS-0213</x:v>
      </x:c>
      <x:c r="B214" t="str">
        <x:v>JVS-0213</x:v>
      </x:c>
      <x:c r="C214" t="str">
        <x:v>Handgrip Model Garis Replika DM</x:v>
      </x:c>
      <x:c r="D214" t="str">
        <x:v>Body</x:v>
      </x:c>
      <x:c r="E214" t="str"/>
      <x:c r="F214" t="str"/>
      <x:c r="G214" s="12" t="n">
        <x:v>15</x:v>
      </x:c>
      <x:c r="H214" s="12" t="n">
        <x:v>15</x:v>
      </x:c>
      <x:c r="I214" s="12" t="n">
        <x:v>0</x:v>
      </x:c>
      <x:c r="J214" s="16" t="n">
        <x:v>0</x:v>
      </x:c>
      <x:c r="K214" s="14" t="n">
        <x:v>0</x:v>
      </x:c>
      <x:c r="L214" s="14" t="n">
        <x:v>1</x:v>
      </x:c>
      <x:c r="M214" t="str">
        <x:v>OUT OF STOCK</x:v>
      </x:c>
      <x:c r="N214" t="str">
        <x:v>AKTIF</x:v>
      </x:c>
      <x:c r="O214" t="str"/>
      <x:c r="P214" t="str"/>
      <x:c r="Q214" t="str"/>
      <x:c r="R214" t="str"/>
      <x:c r="S214" t="str"/>
      <x:c r="T214" t="str"/>
      <x:c r="U214" s="18" t="n">
        <x:v>46134.041666666664</x:v>
      </x:c>
      <x:c r="V214" t="str">
        <x:v>INITIAL_IMPORT</x:v>
      </x:c>
    </x:row>
    <x:row r="215">
      <x:c r="A215" t="str">
        <x:v>PRD-JVS-0214</x:v>
      </x:c>
      <x:c r="B215" t="str">
        <x:v>JVS-0214</x:v>
      </x:c>
      <x:c r="C215" t="str">
        <x:v>Handgrip Model P Coret Replika Import</x:v>
      </x:c>
      <x:c r="D215" t="str">
        <x:v>Body</x:v>
      </x:c>
      <x:c r="E215" t="str"/>
      <x:c r="F215" t="str"/>
      <x:c r="G215" s="12" t="n">
        <x:v>25</x:v>
      </x:c>
      <x:c r="H215" s="12" t="n">
        <x:v>25</x:v>
      </x:c>
      <x:c r="I215" s="12" t="n">
        <x:v>0</x:v>
      </x:c>
      <x:c r="J215" s="16" t="n">
        <x:v>0</x:v>
      </x:c>
      <x:c r="K215" s="14" t="n">
        <x:v>3</x:v>
      </x:c>
      <x:c r="L215" s="14" t="n">
        <x:v>1</x:v>
      </x:c>
      <x:c r="M215" t="str">
        <x:v>READY</x:v>
      </x:c>
      <x:c r="N215" t="str">
        <x:v>AKTIF</x:v>
      </x:c>
      <x:c r="O215" t="str"/>
      <x:c r="P215" t="str"/>
      <x:c r="Q215" t="str"/>
      <x:c r="R215" t="str"/>
      <x:c r="S215" t="str"/>
      <x:c r="T215" t="str"/>
      <x:c r="U215" s="18" t="n">
        <x:v>46134.041666666664</x:v>
      </x:c>
      <x:c r="V215" t="str">
        <x:v>INITIAL_IMPORT</x:v>
      </x:c>
    </x:row>
    <x:row r="216">
      <x:c r="A216" t="str">
        <x:v>PRD-JVS-0215</x:v>
      </x:c>
      <x:c r="B216" t="str">
        <x:v>JVS-0215</x:v>
      </x:c>
      <x:c r="C216" t="str">
        <x:v>HandGrip Stang Model Garis Vespa Merk Danmotor</x:v>
      </x:c>
      <x:c r="D216" t="str">
        <x:v>Body</x:v>
      </x:c>
      <x:c r="E216" t="str"/>
      <x:c r="F216" t="str"/>
      <x:c r="G216" s="12" t="n">
        <x:v>45</x:v>
      </x:c>
      <x:c r="H216" s="12" t="n">
        <x:v>45</x:v>
      </x:c>
      <x:c r="I216" s="12" t="n">
        <x:v>0</x:v>
      </x:c>
      <x:c r="J216" s="16" t="n">
        <x:v>0</x:v>
      </x:c>
      <x:c r="K216" s="14" t="n">
        <x:v>0</x:v>
      </x:c>
      <x:c r="L216" s="14" t="n">
        <x:v>1</x:v>
      </x:c>
      <x:c r="M216" t="str">
        <x:v>OUT OF STOCK</x:v>
      </x:c>
      <x:c r="N216" t="str">
        <x:v>AKTIF</x:v>
      </x:c>
      <x:c r="O216" t="str"/>
      <x:c r="P216" t="str"/>
      <x:c r="Q216" t="str"/>
      <x:c r="R216" t="str"/>
      <x:c r="S216" t="str"/>
      <x:c r="T216" t="str"/>
      <x:c r="U216" s="18" t="n">
        <x:v>46134.041666666664</x:v>
      </x:c>
      <x:c r="V216" t="str">
        <x:v>INITIAL_IMPORT</x:v>
      </x:c>
    </x:row>
    <x:row r="217">
      <x:c r="A217" t="str">
        <x:v>PRD-JVS-0216</x:v>
      </x:c>
      <x:c r="B217" t="str">
        <x:v>JVS-0216</x:v>
      </x:c>
      <x:c r="C217" t="str">
        <x:v>HandGrip Stang Model Vespa LX Danmotor</x:v>
      </x:c>
      <x:c r="D217" t="str">
        <x:v>Body</x:v>
      </x:c>
      <x:c r="E217" t="str">
        <x:v>LX</x:v>
      </x:c>
      <x:c r="F217" t="str"/>
      <x:c r="G217" s="12" t="n">
        <x:v>45</x:v>
      </x:c>
      <x:c r="H217" s="12" t="n">
        <x:v>45</x:v>
      </x:c>
      <x:c r="I217" s="12" t="n">
        <x:v>0</x:v>
      </x:c>
      <x:c r="J217" s="16" t="n">
        <x:v>0</x:v>
      </x:c>
      <x:c r="K217" s="14" t="n">
        <x:v>1</x:v>
      </x:c>
      <x:c r="L217" s="14" t="n">
        <x:v>1</x:v>
      </x:c>
      <x:c r="M217" t="str">
        <x:v>LOW</x:v>
      </x:c>
      <x:c r="N217" t="str">
        <x:v>AKTIF</x:v>
      </x:c>
      <x:c r="O217" t="str"/>
      <x:c r="P217" t="str"/>
      <x:c r="Q217" t="str"/>
      <x:c r="R217" t="str"/>
      <x:c r="S217" t="str"/>
      <x:c r="T217" t="str"/>
      <x:c r="U217" s="18" t="n">
        <x:v>46134.041666666664</x:v>
      </x:c>
      <x:c r="V217" t="str">
        <x:v>INITIAL_IMPORT</x:v>
      </x:c>
    </x:row>
    <x:row r="218">
      <x:c r="A218" t="str">
        <x:v>PRD-JVS-0217</x:v>
      </x:c>
      <x:c r="B218" t="str">
        <x:v>JVS-0217</x:v>
      </x:c>
      <x:c r="C218" t="str">
        <x:v>Handle Kanan Rem Depan Chrome Satuan</x:v>
      </x:c>
      <x:c r="D218" t="str">
        <x:v>Kaki-Kaki</x:v>
      </x:c>
      <x:c r="E218" t="str"/>
      <x:c r="F218" t="str"/>
      <x:c r="G218" s="12" t="n">
        <x:v>18</x:v>
      </x:c>
      <x:c r="H218" s="12" t="n">
        <x:v>18</x:v>
      </x:c>
      <x:c r="I218" s="12" t="n">
        <x:v>0</x:v>
      </x:c>
      <x:c r="J218" s="16" t="n">
        <x:v>0</x:v>
      </x:c>
      <x:c r="K218" s="14" t="n">
        <x:v>2</x:v>
      </x:c>
      <x:c r="L218" s="14" t="n">
        <x:v>1</x:v>
      </x:c>
      <x:c r="M218" t="str">
        <x:v>READY</x:v>
      </x:c>
      <x:c r="N218" t="str">
        <x:v>AKTIF</x:v>
      </x:c>
      <x:c r="O218" t="str"/>
      <x:c r="P218" t="str"/>
      <x:c r="Q218" t="str"/>
      <x:c r="R218" t="str"/>
      <x:c r="S218" t="str"/>
      <x:c r="T218" t="str"/>
      <x:c r="U218" s="18" t="n">
        <x:v>46134.041666666664</x:v>
      </x:c>
      <x:c r="V218" t="str">
        <x:v>INITIAL_IMPORT</x:v>
      </x:c>
    </x:row>
    <x:row r="219">
      <x:c r="A219" t="str">
        <x:v>PRD-JVS-0218</x:v>
      </x:c>
      <x:c r="B219" t="str">
        <x:v>JVS-0218</x:v>
      </x:c>
      <x:c r="C219" t="str">
        <x:v>Handle Kanan Rem Depan Hitam Satuan</x:v>
      </x:c>
      <x:c r="D219" t="str">
        <x:v>Kaki-Kaki</x:v>
      </x:c>
      <x:c r="E219" t="str"/>
      <x:c r="F219" t="str"/>
      <x:c r="G219" s="12" t="n">
        <x:v>18</x:v>
      </x:c>
      <x:c r="H219" s="12" t="n">
        <x:v>18</x:v>
      </x:c>
      <x:c r="I219" s="12" t="n">
        <x:v>0</x:v>
      </x:c>
      <x:c r="J219" s="16" t="n">
        <x:v>0</x:v>
      </x:c>
      <x:c r="K219" s="14" t="n">
        <x:v>1</x:v>
      </x:c>
      <x:c r="L219" s="14" t="n">
        <x:v>1</x:v>
      </x:c>
      <x:c r="M219" t="str">
        <x:v>LOW</x:v>
      </x:c>
      <x:c r="N219" t="str">
        <x:v>AKTIF</x:v>
      </x:c>
      <x:c r="O219" t="str"/>
      <x:c r="P219" t="str"/>
      <x:c r="Q219" t="str"/>
      <x:c r="R219" t="str"/>
      <x:c r="S219" t="str"/>
      <x:c r="T219" t="str"/>
      <x:c r="U219" s="18" t="n">
        <x:v>46134.041666666664</x:v>
      </x:c>
      <x:c r="V219" t="str">
        <x:v>INITIAL_IMPORT</x:v>
      </x:c>
    </x:row>
    <x:row r="220">
      <x:c r="A220" t="str">
        <x:v>PRD-JVS-0219</x:v>
      </x:c>
      <x:c r="B220" t="str">
        <x:v>JVS-0219</x:v>
      </x:c>
      <x:c r="C220" t="str">
        <x:v>Handle Kiri Kopling Depan Chrome Satuan</x:v>
      </x:c>
      <x:c r="D220" t="str">
        <x:v>Mesin</x:v>
      </x:c>
      <x:c r="E220" t="str"/>
      <x:c r="F220" t="str"/>
      <x:c r="G220" s="12" t="n">
        <x:v>18</x:v>
      </x:c>
      <x:c r="H220" s="12" t="n">
        <x:v>18</x:v>
      </x:c>
      <x:c r="I220" s="12" t="n">
        <x:v>0</x:v>
      </x:c>
      <x:c r="J220" s="16" t="n">
        <x:v>0</x:v>
      </x:c>
      <x:c r="K220" s="14" t="n">
        <x:v>2</x:v>
      </x:c>
      <x:c r="L220" s="14" t="n">
        <x:v>1</x:v>
      </x:c>
      <x:c r="M220" t="str">
        <x:v>READY</x:v>
      </x:c>
      <x:c r="N220" t="str">
        <x:v>AKTIF</x:v>
      </x:c>
      <x:c r="O220" t="str"/>
      <x:c r="P220" t="str"/>
      <x:c r="Q220" t="str"/>
      <x:c r="R220" t="str"/>
      <x:c r="S220" t="str"/>
      <x:c r="T220" t="str"/>
      <x:c r="U220" s="18" t="n">
        <x:v>46134.041666666664</x:v>
      </x:c>
      <x:c r="V220" t="str">
        <x:v>INITIAL_IMPORT</x:v>
      </x:c>
    </x:row>
    <x:row r="221">
      <x:c r="A221" t="str">
        <x:v>PRD-JVS-0220</x:v>
      </x:c>
      <x:c r="B221" t="str">
        <x:v>JVS-0220</x:v>
      </x:c>
      <x:c r="C221" t="str">
        <x:v>Handle Kiri Kopling Hitam Satuan</x:v>
      </x:c>
      <x:c r="D221" t="str">
        <x:v>Mesin</x:v>
      </x:c>
      <x:c r="E221" t="str"/>
      <x:c r="F221" t="str"/>
      <x:c r="G221" s="12" t="n">
        <x:v>20</x:v>
      </x:c>
      <x:c r="H221" s="12" t="n">
        <x:v>20</x:v>
      </x:c>
      <x:c r="I221" s="12" t="n">
        <x:v>0</x:v>
      </x:c>
      <x:c r="J221" s="16" t="n">
        <x:v>0</x:v>
      </x:c>
      <x:c r="K221" s="14" t="n">
        <x:v>2</x:v>
      </x:c>
      <x:c r="L221" s="14" t="n">
        <x:v>1</x:v>
      </x:c>
      <x:c r="M221" t="str">
        <x:v>READY</x:v>
      </x:c>
      <x:c r="N221" t="str">
        <x:v>AKTIF</x:v>
      </x:c>
      <x:c r="O221" t="str"/>
      <x:c r="P221" t="str"/>
      <x:c r="Q221" t="str"/>
      <x:c r="R221" t="str"/>
      <x:c r="S221" t="str"/>
      <x:c r="T221" t="str"/>
      <x:c r="U221" s="18" t="n">
        <x:v>46134.041666666664</x:v>
      </x:c>
      <x:c r="V221" t="str">
        <x:v>INITIAL_IMPORT</x:v>
      </x:c>
    </x:row>
    <x:row r="222">
      <x:c r="A222" t="str">
        <x:v>PRD-JVS-0221</x:v>
      </x:c>
      <x:c r="B222" t="str">
        <x:v>JVS-0221</x:v>
      </x:c>
      <x:c r="C222" t="str">
        <x:v>Handle Set Kiri Kanan Model Racing Hitam/Polish</x:v>
      </x:c>
      <x:c r="D222" t="str">
        <x:v>Body</x:v>
      </x:c>
      <x:c r="E222" t="str"/>
      <x:c r="F222" t="str"/>
      <x:c r="G222" s="12" t="n">
        <x:v>45</x:v>
      </x:c>
      <x:c r="H222" s="12" t="n">
        <x:v>45</x:v>
      </x:c>
      <x:c r="I222" s="12" t="n">
        <x:v>0</x:v>
      </x:c>
      <x:c r="J222" s="16" t="n">
        <x:v>0</x:v>
      </x:c>
      <x:c r="K222" s="14" t="n">
        <x:v>5</x:v>
      </x:c>
      <x:c r="L222" s="14" t="n">
        <x:v>1</x:v>
      </x:c>
      <x:c r="M222" t="str">
        <x:v>READY</x:v>
      </x:c>
      <x:c r="N222" t="str">
        <x:v>AKTIF</x:v>
      </x:c>
      <x:c r="O222" t="str"/>
      <x:c r="P222" t="str"/>
      <x:c r="Q222" t="str"/>
      <x:c r="R222" t="str"/>
      <x:c r="S222" t="str"/>
      <x:c r="T222" t="str"/>
      <x:c r="U222" s="18" t="n">
        <x:v>46134.041666666664</x:v>
      </x:c>
      <x:c r="V222" t="str">
        <x:v>INITIAL_IMPORT</x:v>
      </x:c>
    </x:row>
    <x:row r="223">
      <x:c r="A223" t="str">
        <x:v>PRD-JVS-0222</x:v>
      </x:c>
      <x:c r="B223" t="str">
        <x:v>JVS-0222</x:v>
      </x:c>
      <x:c r="C223" t="str">
        <x:v>Handle Set Kiri Kanan Model Tahun Tua Lancip</x:v>
      </x:c>
      <x:c r="D223" t="str">
        <x:v>Body</x:v>
      </x:c>
      <x:c r="E223" t="str"/>
      <x:c r="F223" t="str"/>
      <x:c r="G223" s="12" t="n">
        <x:v>45</x:v>
      </x:c>
      <x:c r="H223" s="12" t="n">
        <x:v>45</x:v>
      </x:c>
      <x:c r="I223" s="12" t="n">
        <x:v>0</x:v>
      </x:c>
      <x:c r="J223" s="16" t="n">
        <x:v>0</x:v>
      </x:c>
      <x:c r="K223" s="14" t="n">
        <x:v>0</x:v>
      </x:c>
      <x:c r="L223" s="14" t="n">
        <x:v>1</x:v>
      </x:c>
      <x:c r="M223" t="str">
        <x:v>OUT OF STOCK</x:v>
      </x:c>
      <x:c r="N223" t="str">
        <x:v>AKTIF</x:v>
      </x:c>
      <x:c r="O223" t="str"/>
      <x:c r="P223" t="str"/>
      <x:c r="Q223" t="str"/>
      <x:c r="R223" t="str"/>
      <x:c r="S223" t="str"/>
      <x:c r="T223" t="str"/>
      <x:c r="U223" s="18" t="n">
        <x:v>46134.041666666664</x:v>
      </x:c>
      <x:c r="V223" t="str">
        <x:v>INITIAL_IMPORT</x:v>
      </x:c>
    </x:row>
    <x:row r="224">
      <x:c r="A224" t="str">
        <x:v>PRD-JVS-0223</x:v>
      </x:c>
      <x:c r="B224" t="str">
        <x:v>JVS-0223</x:v>
      </x:c>
      <x:c r="C224" t="str">
        <x:v>Intake Karburator vespa model Kodok membran rx king</x:v>
      </x:c>
      <x:c r="D224" t="str">
        <x:v>Mesin</x:v>
      </x:c>
      <x:c r="E224" t="str"/>
      <x:c r="F224" t="str"/>
      <x:c r="G224" s="12" t="n">
        <x:v>105</x:v>
      </x:c>
      <x:c r="H224" s="12" t="n">
        <x:v>105</x:v>
      </x:c>
      <x:c r="I224" s="12" t="n">
        <x:v>0</x:v>
      </x:c>
      <x:c r="J224" s="16" t="n">
        <x:v>0</x:v>
      </x:c>
      <x:c r="K224" s="14" t="n">
        <x:v>1</x:v>
      </x:c>
      <x:c r="L224" s="14" t="n">
        <x:v>1</x:v>
      </x:c>
      <x:c r="M224" t="str">
        <x:v>LOW</x:v>
      </x:c>
      <x:c r="N224" t="str">
        <x:v>AKTIF</x:v>
      </x:c>
      <x:c r="O224" t="str"/>
      <x:c r="P224" t="str"/>
      <x:c r="Q224" t="str"/>
      <x:c r="R224" t="str"/>
      <x:c r="S224" t="str"/>
      <x:c r="T224" t="str"/>
      <x:c r="U224" s="18" t="n">
        <x:v>46134.041666666664</x:v>
      </x:c>
      <x:c r="V224" t="str">
        <x:v>INITIAL_IMPORT</x:v>
      </x:c>
    </x:row>
    <x:row r="225">
      <x:c r="A225" t="str">
        <x:v>PRD-JVS-0224</x:v>
      </x:c>
      <x:c r="B225" t="str">
        <x:v>JVS-0224</x:v>
      </x:c>
      <x:c r="C225" t="str">
        <x:v>Intake Karburator vespa model susun membran rx king</x:v>
      </x:c>
      <x:c r="D225" t="str">
        <x:v>Mesin</x:v>
      </x:c>
      <x:c r="E225" t="str"/>
      <x:c r="F225" t="str"/>
      <x:c r="G225" s="12" t="n">
        <x:v>200</x:v>
      </x:c>
      <x:c r="H225" s="12" t="n">
        <x:v>200</x:v>
      </x:c>
      <x:c r="I225" s="12" t="n">
        <x:v>0</x:v>
      </x:c>
      <x:c r="J225" s="16" t="n">
        <x:v>0</x:v>
      </x:c>
      <x:c r="K225" s="14" t="n">
        <x:v>1</x:v>
      </x:c>
      <x:c r="L225" s="14" t="n">
        <x:v>1</x:v>
      </x:c>
      <x:c r="M225" t="str">
        <x:v>LOW</x:v>
      </x:c>
      <x:c r="N225" t="str">
        <x:v>AKTIF</x:v>
      </x:c>
      <x:c r="O225" t="str"/>
      <x:c r="P225" t="str"/>
      <x:c r="Q225" t="str"/>
      <x:c r="R225" t="str"/>
      <x:c r="S225" t="str"/>
      <x:c r="T225" t="str"/>
      <x:c r="U225" s="18" t="n">
        <x:v>46134.041666666664</x:v>
      </x:c>
      <x:c r="V225" t="str">
        <x:v>INITIAL_IMPORT</x:v>
      </x:c>
    </x:row>
    <x:row r="226">
      <x:c r="A226" t="str">
        <x:v>PRD-JVS-0225</x:v>
      </x:c>
      <x:c r="B226" t="str">
        <x:v>JVS-0225</x:v>
      </x:c>
      <x:c r="C226" t="str">
        <x:v>Intake Karburator vespa model susun membran rxz</x:v>
      </x:c>
      <x:c r="D226" t="str">
        <x:v>Mesin</x:v>
      </x:c>
      <x:c r="E226" t="str"/>
      <x:c r="F226" t="str"/>
      <x:c r="G226" s="12" t="n">
        <x:v>220</x:v>
      </x:c>
      <x:c r="H226" s="12" t="n">
        <x:v>220</x:v>
      </x:c>
      <x:c r="I226" s="12" t="n">
        <x:v>0</x:v>
      </x:c>
      <x:c r="J226" s="16" t="n">
        <x:v>0</x:v>
      </x:c>
      <x:c r="K226" s="14" t="n">
        <x:v>0</x:v>
      </x:c>
      <x:c r="L226" s="14" t="n">
        <x:v>1</x:v>
      </x:c>
      <x:c r="M226" t="str">
        <x:v>OUT OF STOCK</x:v>
      </x:c>
      <x:c r="N226" t="str">
        <x:v>AKTIF</x:v>
      </x:c>
      <x:c r="O226" t="str"/>
      <x:c r="P226" t="str"/>
      <x:c r="Q226" t="str"/>
      <x:c r="R226" t="str"/>
      <x:c r="S226" t="str"/>
      <x:c r="T226" t="str"/>
      <x:c r="U226" s="18" t="n">
        <x:v>46134.041666666664</x:v>
      </x:c>
      <x:c r="V226" t="str">
        <x:v>INITIAL_IMPORT</x:v>
      </x:c>
    </x:row>
    <x:row r="227">
      <x:c r="A227" t="str">
        <x:v>PRD-JVS-0226</x:v>
      </x:c>
      <x:c r="B227" t="str">
        <x:v>JVS-0226</x:v>
      </x:c>
      <x:c r="C227" t="str">
        <x:v>Isolasi listrik national nitto</x:v>
      </x:c>
      <x:c r="D227" t="str">
        <x:v>Servis</x:v>
      </x:c>
      <x:c r="E227" t="str"/>
      <x:c r="F227" t="str"/>
      <x:c r="G227" s="12" t="n">
        <x:v>10</x:v>
      </x:c>
      <x:c r="H227" s="12" t="n">
        <x:v>10</x:v>
      </x:c>
      <x:c r="I227" s="12" t="n">
        <x:v>0</x:v>
      </x:c>
      <x:c r="J227" s="16" t="n">
        <x:v>0</x:v>
      </x:c>
      <x:c r="K227" s="14" t="n">
        <x:v>5</x:v>
      </x:c>
      <x:c r="L227" s="14" t="n">
        <x:v>1</x:v>
      </x:c>
      <x:c r="M227" t="str">
        <x:v>READY</x:v>
      </x:c>
      <x:c r="N227" t="str">
        <x:v>AKTIF</x:v>
      </x:c>
      <x:c r="O227" t="str"/>
      <x:c r="P227" t="str"/>
      <x:c r="Q227" t="str"/>
      <x:c r="R227" t="str"/>
      <x:c r="S227" t="str"/>
      <x:c r="T227" t="str"/>
      <x:c r="U227" s="18" t="n">
        <x:v>46134.041666666664</x:v>
      </x:c>
      <x:c r="V227" t="str">
        <x:v>INITIAL_IMPORT</x:v>
      </x:c>
    </x:row>
    <x:row r="228">
      <x:c r="A228" t="str">
        <x:v>PRD-JVS-0227</x:v>
      </x:c>
      <x:c r="B228" t="str">
        <x:v>JVS-0227</x:v>
      </x:c>
      <x:c r="C228" t="str">
        <x:v>Jengger Jambul Spakbor NewPX Import Chrome</x:v>
      </x:c>
      <x:c r="D228" t="str">
        <x:v>Body</x:v>
      </x:c>
      <x:c r="E228" t="str">
        <x:v>PX, NEWPX</x:v>
      </x:c>
      <x:c r="F228" t="str"/>
      <x:c r="G228" s="12" t="str"/>
      <x:c r="H228" s="12" t="str"/>
      <x:c r="I228" s="12" t="str"/>
      <x:c r="J228" s="16" t="str"/>
      <x:c r="K228" s="14" t="n">
        <x:v>2</x:v>
      </x:c>
      <x:c r="L228" s="14" t="n">
        <x:v>1</x:v>
      </x:c>
      <x:c r="M228" t="str">
        <x:v>READY</x:v>
      </x:c>
      <x:c r="N228" t="str">
        <x:v>AKTIF</x:v>
      </x:c>
      <x:c r="O228" t="str"/>
      <x:c r="P228" t="str"/>
      <x:c r="Q228" t="str"/>
      <x:c r="R228" t="str"/>
      <x:c r="S228" t="str"/>
      <x:c r="T228" t="str"/>
      <x:c r="U228" s="18" t="n">
        <x:v>46134.041666666664</x:v>
      </x:c>
      <x:c r="V228" t="str">
        <x:v>INITIAL_IMPORT</x:v>
      </x:c>
    </x:row>
    <x:row r="229">
      <x:c r="A229" t="str">
        <x:v>PRD-JVS-0228</x:v>
      </x:c>
      <x:c r="B229" t="str">
        <x:v>JVS-0228</x:v>
      </x:c>
      <x:c r="C229" t="str">
        <x:v>Jengger Jambul Spakbor PX PS PXE EXCEL Import Hitam</x:v>
      </x:c>
      <x:c r="D229" t="str">
        <x:v>Body</x:v>
      </x:c>
      <x:c r="E229" t="str">
        <x:v>EXCEL, PXE, PX, PS</x:v>
      </x:c>
      <x:c r="F229" t="str"/>
      <x:c r="G229" s="12" t="str"/>
      <x:c r="H229" s="12" t="str"/>
      <x:c r="I229" s="12" t="str"/>
      <x:c r="J229" s="16" t="str"/>
      <x:c r="K229" s="14" t="n">
        <x:v>1</x:v>
      </x:c>
      <x:c r="L229" s="14" t="n">
        <x:v>1</x:v>
      </x:c>
      <x:c r="M229" t="str">
        <x:v>LOW</x:v>
      </x:c>
      <x:c r="N229" t="str">
        <x:v>AKTIF</x:v>
      </x:c>
      <x:c r="O229" t="str"/>
      <x:c r="P229" t="str"/>
      <x:c r="Q229" t="str"/>
      <x:c r="R229" t="str"/>
      <x:c r="S229" t="str"/>
      <x:c r="T229" t="str"/>
      <x:c r="U229" s="18" t="n">
        <x:v>46134.041666666664</x:v>
      </x:c>
      <x:c r="V229" t="str">
        <x:v>INITIAL_IMPORT</x:v>
      </x:c>
    </x:row>
    <x:row r="230">
      <x:c r="A230" t="str">
        <x:v>PRD-JVS-0229</x:v>
      </x:c>
      <x:c r="B230" t="str">
        <x:v>JVS-0229</x:v>
      </x:c>
      <x:c r="C230" t="str">
        <x:v>Jengger Jambul Spakbor Vespa Sprint Muda PX Kotak Chrome</x:v>
      </x:c>
      <x:c r="D230" t="str">
        <x:v>Body</x:v>
      </x:c>
      <x:c r="E230" t="str">
        <x:v>PX, SPRINT</x:v>
      </x:c>
      <x:c r="F230" t="str"/>
      <x:c r="G230" s="12" t="n">
        <x:v>25</x:v>
      </x:c>
      <x:c r="H230" s="12" t="n">
        <x:v>25</x:v>
      </x:c>
      <x:c r="I230" s="12" t="n">
        <x:v>0</x:v>
      </x:c>
      <x:c r="J230" s="16" t="n">
        <x:v>0</x:v>
      </x:c>
      <x:c r="K230" s="14" t="n">
        <x:v>2</x:v>
      </x:c>
      <x:c r="L230" s="14" t="n">
        <x:v>1</x:v>
      </x:c>
      <x:c r="M230" t="str">
        <x:v>READY</x:v>
      </x:c>
      <x:c r="N230" t="str">
        <x:v>AKTIF</x:v>
      </x:c>
      <x:c r="O230" t="str"/>
      <x:c r="P230" t="str"/>
      <x:c r="Q230" t="str"/>
      <x:c r="R230" t="str"/>
      <x:c r="S230" t="str"/>
      <x:c r="T230" t="str"/>
      <x:c r="U230" s="18" t="n">
        <x:v>46134.041666666664</x:v>
      </x:c>
      <x:c r="V230" t="str">
        <x:v>INITIAL_IMPORT</x:v>
      </x:c>
    </x:row>
    <x:row r="231">
      <x:c r="A231" t="str">
        <x:v>PRD-JVS-0230</x:v>
      </x:c>
      <x:c r="B231" t="str">
        <x:v>JVS-0230</x:v>
      </x:c>
      <x:c r="C231" t="str">
        <x:v>Jengger Jambul Spakbor Vespa Sprint Tua lis kecil Chrome</x:v>
      </x:c>
      <x:c r="D231" t="str">
        <x:v>Body</x:v>
      </x:c>
      <x:c r="E231" t="str">
        <x:v>SPRINT</x:v>
      </x:c>
      <x:c r="F231" t="str"/>
      <x:c r="G231" s="12" t="n">
        <x:v>20</x:v>
      </x:c>
      <x:c r="H231" s="12" t="n">
        <x:v>20</x:v>
      </x:c>
      <x:c r="I231" s="12" t="n">
        <x:v>0</x:v>
      </x:c>
      <x:c r="J231" s="16" t="n">
        <x:v>0</x:v>
      </x:c>
      <x:c r="K231" s="14" t="n">
        <x:v>1</x:v>
      </x:c>
      <x:c r="L231" s="14" t="n">
        <x:v>1</x:v>
      </x:c>
      <x:c r="M231" t="str">
        <x:v>LOW</x:v>
      </x:c>
      <x:c r="N231" t="str">
        <x:v>AKTIF</x:v>
      </x:c>
      <x:c r="O231" t="str"/>
      <x:c r="P231" t="str"/>
      <x:c r="Q231" t="str"/>
      <x:c r="R231" t="str"/>
      <x:c r="S231" t="str"/>
      <x:c r="T231" t="str"/>
      <x:c r="U231" s="18" t="n">
        <x:v>46134.041666666664</x:v>
      </x:c>
      <x:c r="V231" t="str">
        <x:v>INITIAL_IMPORT</x:v>
      </x:c>
    </x:row>
    <x:row r="232">
      <x:c r="A232" t="str">
        <x:v>PRD-JVS-0231</x:v>
      </x:c>
      <x:c r="B232" t="str">
        <x:v>JVS-0231</x:v>
      </x:c>
      <x:c r="C232" t="str">
        <x:v>Jengger Jambul Spakbor Vespa Super Lis panjang Chrome</x:v>
      </x:c>
      <x:c r="D232" t="str">
        <x:v>Body</x:v>
      </x:c>
      <x:c r="E232" t="str">
        <x:v>SUPER</x:v>
      </x:c>
      <x:c r="F232" t="str"/>
      <x:c r="G232" s="12" t="n">
        <x:v>20</x:v>
      </x:c>
      <x:c r="H232" s="12" t="n">
        <x:v>20</x:v>
      </x:c>
      <x:c r="I232" s="12" t="n">
        <x:v>0</x:v>
      </x:c>
      <x:c r="J232" s="16" t="n">
        <x:v>0</x:v>
      </x:c>
      <x:c r="K232" s="14" t="n">
        <x:v>3</x:v>
      </x:c>
      <x:c r="L232" s="14" t="n">
        <x:v>1</x:v>
      </x:c>
      <x:c r="M232" t="str">
        <x:v>READY</x:v>
      </x:c>
      <x:c r="N232" t="str">
        <x:v>AKTIF</x:v>
      </x:c>
      <x:c r="O232" t="str"/>
      <x:c r="P232" t="str"/>
      <x:c r="Q232" t="str"/>
      <x:c r="R232" t="str"/>
      <x:c r="S232" t="str"/>
      <x:c r="T232" t="str"/>
      <x:c r="U232" s="18" t="n">
        <x:v>46134.041666666664</x:v>
      </x:c>
      <x:c r="V232" t="str">
        <x:v>INITIAL_IMPORT</x:v>
      </x:c>
    </x:row>
    <x:row r="233">
      <x:c r="A233" t="str">
        <x:v>PRD-JVS-0232</x:v>
      </x:c>
      <x:c r="B233" t="str">
        <x:v>JVS-0232</x:v>
      </x:c>
      <x:c r="C233" t="str">
        <x:v>Jog Jok Pisah Belakang Bagus Plat Besi</x:v>
      </x:c>
      <x:c r="D233" t="str">
        <x:v>Body</x:v>
      </x:c>
      <x:c r="E233" t="str"/>
      <x:c r="F233" t="str"/>
      <x:c r="G233" s="12" t="n">
        <x:v>60</x:v>
      </x:c>
      <x:c r="H233" s="12" t="n">
        <x:v>60</x:v>
      </x:c>
      <x:c r="I233" s="12" t="n">
        <x:v>0</x:v>
      </x:c>
      <x:c r="J233" s="16" t="n">
        <x:v>0</x:v>
      </x:c>
      <x:c r="K233" s="14" t="n">
        <x:v>1</x:v>
      </x:c>
      <x:c r="L233" s="14" t="n">
        <x:v>1</x:v>
      </x:c>
      <x:c r="M233" t="str">
        <x:v>LOW</x:v>
      </x:c>
      <x:c r="N233" t="str">
        <x:v>AKTIF</x:v>
      </x:c>
      <x:c r="O233" t="str"/>
      <x:c r="P233" t="str"/>
      <x:c r="Q233" t="str"/>
      <x:c r="R233" t="str"/>
      <x:c r="S233" t="str"/>
      <x:c r="T233" t="str"/>
      <x:c r="U233" s="18" t="n">
        <x:v>46134.041666666664</x:v>
      </x:c>
      <x:c r="V233" t="str">
        <x:v>INITIAL_IMPORT</x:v>
      </x:c>
    </x:row>
    <x:row r="234">
      <x:c r="A234" t="str">
        <x:v>PRD-JVS-0233</x:v>
      </x:c>
      <x:c r="B234" t="str">
        <x:v>JVS-0233</x:v>
      </x:c>
      <x:c r="C234" t="str">
        <x:v>Jog Jok Pisah Belakang Biasa Triplek</x:v>
      </x:c>
      <x:c r="D234" t="str">
        <x:v>Body</x:v>
      </x:c>
      <x:c r="E234" t="str"/>
      <x:c r="F234" t="str"/>
      <x:c r="G234" s="12" t="n">
        <x:v>37</x:v>
      </x:c>
      <x:c r="H234" s="12" t="n">
        <x:v>37</x:v>
      </x:c>
      <x:c r="I234" s="12" t="n">
        <x:v>0</x:v>
      </x:c>
      <x:c r="J234" s="16" t="n">
        <x:v>0</x:v>
      </x:c>
      <x:c r="K234" s="14" t="n">
        <x:v>4</x:v>
      </x:c>
      <x:c r="L234" s="14" t="n">
        <x:v>1</x:v>
      </x:c>
      <x:c r="M234" t="str">
        <x:v>READY</x:v>
      </x:c>
      <x:c r="N234" t="str">
        <x:v>AKTIF</x:v>
      </x:c>
      <x:c r="O234" t="str"/>
      <x:c r="P234" t="str"/>
      <x:c r="Q234" t="str"/>
      <x:c r="R234" t="str"/>
      <x:c r="S234" t="str"/>
      <x:c r="T234" t="str"/>
      <x:c r="U234" s="18" t="n">
        <x:v>46134.041666666664</x:v>
      </x:c>
      <x:c r="V234" t="str">
        <x:v>INITIAL_IMPORT</x:v>
      </x:c>
    </x:row>
    <x:row r="235">
      <x:c r="A235" t="str">
        <x:v>PRD-JVS-0234</x:v>
      </x:c>
      <x:c r="B235" t="str">
        <x:v>JVS-0234</x:v>
      </x:c>
      <x:c r="C235" t="str">
        <x:v>Jog Jok Sadel Spartan Per</x:v>
      </x:c>
      <x:c r="D235" t="str">
        <x:v>Body</x:v>
      </x:c>
      <x:c r="E235" t="str">
        <x:v>SPARTAN</x:v>
      </x:c>
      <x:c r="F235" t="str"/>
      <x:c r="G235" s="12" t="n">
        <x:v>300</x:v>
      </x:c>
      <x:c r="H235" s="12" t="n">
        <x:v>300</x:v>
      </x:c>
      <x:c r="I235" s="12" t="n">
        <x:v>0</x:v>
      </x:c>
      <x:c r="J235" s="16" t="n">
        <x:v>0</x:v>
      </x:c>
      <x:c r="K235" s="14" t="n">
        <x:v>0</x:v>
      </x:c>
      <x:c r="L235" s="14" t="n">
        <x:v>1</x:v>
      </x:c>
      <x:c r="M235" t="str">
        <x:v>OUT OF STOCK</x:v>
      </x:c>
      <x:c r="N235" t="str">
        <x:v>AKTIF</x:v>
      </x:c>
      <x:c r="O235" t="str"/>
      <x:c r="P235" t="str"/>
      <x:c r="Q235" t="str"/>
      <x:c r="R235" t="str"/>
      <x:c r="S235" t="str"/>
      <x:c r="T235" t="str"/>
      <x:c r="U235" s="18" t="n">
        <x:v>46134.041666666664</x:v>
      </x:c>
      <x:c r="V235" t="str">
        <x:v>INITIAL_IMPORT</x:v>
      </x:c>
    </x:row>
    <x:row r="236">
      <x:c r="A236" t="str">
        <x:v>PRD-JVS-0235</x:v>
      </x:c>
      <x:c r="B236" t="str">
        <x:v>JVS-0235</x:v>
      </x:c>
      <x:c r="C236" t="str">
        <x:v>Kabel Body Vespa 90 PTS</x:v>
      </x:c>
      <x:c r="D236" t="str">
        <x:v>Body</x:v>
      </x:c>
      <x:c r="E236" t="str">
        <x:v>PTS</x:v>
      </x:c>
      <x:c r="F236" t="str"/>
      <x:c r="G236" s="12" t="str"/>
      <x:c r="H236" s="12" t="str"/>
      <x:c r="I236" s="12" t="str"/>
      <x:c r="J236" s="16" t="str"/>
      <x:c r="K236" s="14" t="n">
        <x:v>1</x:v>
      </x:c>
      <x:c r="L236" s="14" t="n">
        <x:v>1</x:v>
      </x:c>
      <x:c r="M236" t="str">
        <x:v>LOW</x:v>
      </x:c>
      <x:c r="N236" t="str">
        <x:v>AKTIF</x:v>
      </x:c>
      <x:c r="O236" t="str"/>
      <x:c r="P236" t="str"/>
      <x:c r="Q236" t="str"/>
      <x:c r="R236" t="str"/>
      <x:c r="S236" t="str"/>
      <x:c r="T236" t="str"/>
      <x:c r="U236" s="18" t="n">
        <x:v>46134.041666666664</x:v>
      </x:c>
      <x:c r="V236" t="str">
        <x:v>INITIAL_IMPORT</x:v>
      </x:c>
    </x:row>
    <x:row r="237">
      <x:c r="A237" t="str">
        <x:v>PRD-JVS-0236</x:v>
      </x:c>
      <x:c r="B237" t="str">
        <x:v>JVS-0236</x:v>
      </x:c>
      <x:c r="C237" t="str">
        <x:v>Kabel Body Vespa Excel Import</x:v>
      </x:c>
      <x:c r="D237" t="str">
        <x:v>Body</x:v>
      </x:c>
      <x:c r="E237" t="str">
        <x:v>EXCEL</x:v>
      </x:c>
      <x:c r="F237" t="str"/>
      <x:c r="G237" s="12" t="n">
        <x:v>275</x:v>
      </x:c>
      <x:c r="H237" s="12" t="n">
        <x:v>275</x:v>
      </x:c>
      <x:c r="I237" s="12" t="n">
        <x:v>0</x:v>
      </x:c>
      <x:c r="J237" s="16" t="n">
        <x:v>0</x:v>
      </x:c>
      <x:c r="K237" s="14" t="n">
        <x:v>1</x:v>
      </x:c>
      <x:c r="L237" s="14" t="n">
        <x:v>1</x:v>
      </x:c>
      <x:c r="M237" t="str">
        <x:v>LOW</x:v>
      </x:c>
      <x:c r="N237" t="str">
        <x:v>AKTIF</x:v>
      </x:c>
      <x:c r="O237" t="str"/>
      <x:c r="P237" t="str"/>
      <x:c r="Q237" t="str"/>
      <x:c r="R237" t="str"/>
      <x:c r="S237" t="str"/>
      <x:c r="T237" t="str"/>
      <x:c r="U237" s="18" t="n">
        <x:v>46134.041666666664</x:v>
      </x:c>
      <x:c r="V237" t="str">
        <x:v>INITIAL_IMPORT</x:v>
      </x:c>
    </x:row>
    <x:row r="238">
      <x:c r="A238" t="str">
        <x:v>PRD-JVS-0237</x:v>
      </x:c>
      <x:c r="B238" t="str">
        <x:v>JVS-0237</x:v>
      </x:c>
      <x:c r="C238" t="str">
        <x:v>Kabel Body Vespa PX</x:v>
      </x:c>
      <x:c r="D238" t="str">
        <x:v>Body</x:v>
      </x:c>
      <x:c r="E238" t="str">
        <x:v>PX</x:v>
      </x:c>
      <x:c r="F238" t="str"/>
      <x:c r="G238" s="12" t="n">
        <x:v>85</x:v>
      </x:c>
      <x:c r="H238" s="12" t="n">
        <x:v>85</x:v>
      </x:c>
      <x:c r="I238" s="12" t="n">
        <x:v>0</x:v>
      </x:c>
      <x:c r="J238" s="16" t="n">
        <x:v>0</x:v>
      </x:c>
      <x:c r="K238" s="14" t="n">
        <x:v>3</x:v>
      </x:c>
      <x:c r="L238" s="14" t="n">
        <x:v>1</x:v>
      </x:c>
      <x:c r="M238" t="str">
        <x:v>READY</x:v>
      </x:c>
      <x:c r="N238" t="str">
        <x:v>AKTIF</x:v>
      </x:c>
      <x:c r="O238" t="str"/>
      <x:c r="P238" t="str"/>
      <x:c r="Q238" t="str"/>
      <x:c r="R238" t="str"/>
      <x:c r="S238" t="str"/>
      <x:c r="T238" t="str"/>
      <x:c r="U238" s="18" t="n">
        <x:v>46134.041666666664</x:v>
      </x:c>
      <x:c r="V238" t="str">
        <x:v>INITIAL_IMPORT</x:v>
      </x:c>
    </x:row>
    <x:row r="239">
      <x:c r="A239" t="str">
        <x:v>PRD-JVS-0238</x:v>
      </x:c>
      <x:c r="B239" t="str">
        <x:v>JVS-0238</x:v>
      </x:c>
      <x:c r="C239" t="str">
        <x:v>Kabel Body Vespa Super Sprint Bajaj</x:v>
      </x:c>
      <x:c r="D239" t="str">
        <x:v>Body</x:v>
      </x:c>
      <x:c r="E239" t="str">
        <x:v>SUPER, SPRINT, BAJAJ</x:v>
      </x:c>
      <x:c r="F239" t="str"/>
      <x:c r="G239" s="12" t="n">
        <x:v>60</x:v>
      </x:c>
      <x:c r="H239" s="12" t="n">
        <x:v>60</x:v>
      </x:c>
      <x:c r="I239" s="12" t="n">
        <x:v>0</x:v>
      </x:c>
      <x:c r="J239" s="16" t="n">
        <x:v>0</x:v>
      </x:c>
      <x:c r="K239" s="14" t="n">
        <x:v>2</x:v>
      </x:c>
      <x:c r="L239" s="14" t="n">
        <x:v>1</x:v>
      </x:c>
      <x:c r="M239" t="str">
        <x:v>READY</x:v>
      </x:c>
      <x:c r="N239" t="str">
        <x:v>AKTIF</x:v>
      </x:c>
      <x:c r="O239" t="str"/>
      <x:c r="P239" t="str"/>
      <x:c r="Q239" t="str"/>
      <x:c r="R239" t="str"/>
      <x:c r="S239" t="str"/>
      <x:c r="T239" t="str"/>
      <x:c r="U239" s="18" t="n">
        <x:v>46134.041666666664</x:v>
      </x:c>
      <x:c r="V239" t="str">
        <x:v>INITIAL_IMPORT</x:v>
      </x:c>
    </x:row>
    <x:row r="240">
      <x:c r="A240" t="str">
        <x:v>PRD-JVS-0239</x:v>
      </x:c>
      <x:c r="B240" t="str">
        <x:v>JVS-0239</x:v>
      </x:c>
      <x:c r="C240" t="str">
        <x:v>Kabel Choke Luar dalam vespa Universal</x:v>
      </x:c>
      <x:c r="D240" t="str">
        <x:v>Servis</x:v>
      </x:c>
      <x:c r="E240" t="str"/>
      <x:c r="F240" t="str"/>
      <x:c r="G240" s="12" t="n">
        <x:v>18</x:v>
      </x:c>
      <x:c r="H240" s="12" t="n">
        <x:v>18</x:v>
      </x:c>
      <x:c r="I240" s="12" t="n">
        <x:v>0</x:v>
      </x:c>
      <x:c r="J240" s="16" t="n">
        <x:v>0</x:v>
      </x:c>
      <x:c r="K240" s="14" t="n">
        <x:v>3</x:v>
      </x:c>
      <x:c r="L240" s="14" t="n">
        <x:v>1</x:v>
      </x:c>
      <x:c r="M240" t="str">
        <x:v>READY</x:v>
      </x:c>
      <x:c r="N240" t="str">
        <x:v>AKTIF</x:v>
      </x:c>
      <x:c r="O240" t="str"/>
      <x:c r="P240" t="str"/>
      <x:c r="Q240" t="str"/>
      <x:c r="R240" t="str"/>
      <x:c r="S240" t="str"/>
      <x:c r="T240" t="str"/>
      <x:c r="U240" s="18" t="n">
        <x:v>46134.041666666664</x:v>
      </x:c>
      <x:c r="V240" t="str">
        <x:v>INITIAL_IMPORT</x:v>
      </x:c>
    </x:row>
    <x:row r="241">
      <x:c r="A241" t="str">
        <x:v>PRD-JVS-0240</x:v>
      </x:c>
      <x:c r="B241" t="str">
        <x:v>JVS-0240</x:v>
      </x:c>
      <x:c r="C241" t="str">
        <x:v>Kabel Gas Set Luar Dalam Vespa excel PXE Danmotor</x:v>
      </x:c>
      <x:c r="D241" t="str">
        <x:v>Servis</x:v>
      </x:c>
      <x:c r="E241" t="str">
        <x:v>EXCEL, PXE, PX</x:v>
      </x:c>
      <x:c r="F241" t="str"/>
      <x:c r="G241" s="12" t="n">
        <x:v>45</x:v>
      </x:c>
      <x:c r="H241" s="12" t="n">
        <x:v>45</x:v>
      </x:c>
      <x:c r="I241" s="12" t="n">
        <x:v>0</x:v>
      </x:c>
      <x:c r="J241" s="16" t="n">
        <x:v>0</x:v>
      </x:c>
      <x:c r="K241" s="14" t="n">
        <x:v>0</x:v>
      </x:c>
      <x:c r="L241" s="14" t="n">
        <x:v>1</x:v>
      </x:c>
      <x:c r="M241" t="str">
        <x:v>OUT OF STOCK</x:v>
      </x:c>
      <x:c r="N241" t="str">
        <x:v>AKTIF</x:v>
      </x:c>
      <x:c r="O241" t="str"/>
      <x:c r="P241" t="str"/>
      <x:c r="Q241" t="str"/>
      <x:c r="R241" t="str"/>
      <x:c r="S241" t="str"/>
      <x:c r="T241" t="str"/>
      <x:c r="U241" s="18" t="n">
        <x:v>46134.041666666664</x:v>
      </x:c>
      <x:c r="V241" t="str">
        <x:v>INITIAL_IMPORT</x:v>
      </x:c>
    </x:row>
    <x:row r="242">
      <x:c r="A242" t="str">
        <x:v>PRD-JVS-0241</x:v>
      </x:c>
      <x:c r="B242" t="str">
        <x:v>JVS-0241</x:v>
      </x:c>
      <x:c r="C242" t="str">
        <x:v>Kabel Gas Set/ Karbon</x:v>
      </x:c>
      <x:c r="D242" t="str">
        <x:v>Servis</x:v>
      </x:c>
      <x:c r="E242" t="str"/>
      <x:c r="F242" t="str"/>
      <x:c r="G242" s="12" t="n">
        <x:v>28</x:v>
      </x:c>
      <x:c r="H242" s="12" t="n">
        <x:v>28</x:v>
      </x:c>
      <x:c r="I242" s="12" t="n">
        <x:v>0</x:v>
      </x:c>
      <x:c r="J242" s="16" t="n">
        <x:v>0</x:v>
      </x:c>
      <x:c r="K242" s="14" t="n">
        <x:v>2</x:v>
      </x:c>
      <x:c r="L242" s="14" t="n">
        <x:v>1</x:v>
      </x:c>
      <x:c r="M242" t="str">
        <x:v>READY</x:v>
      </x:c>
      <x:c r="N242" t="str">
        <x:v>AKTIF</x:v>
      </x:c>
      <x:c r="O242" t="str"/>
      <x:c r="P242" t="str"/>
      <x:c r="Q242" t="str"/>
      <x:c r="R242" t="str"/>
      <x:c r="S242" t="str"/>
      <x:c r="T242" t="str"/>
      <x:c r="U242" s="18" t="n">
        <x:v>46134.041666666664</x:v>
      </x:c>
      <x:c r="V242" t="str">
        <x:v>INITIAL_IMPORT</x:v>
      </x:c>
    </x:row>
    <x:row r="243">
      <x:c r="A243" t="str">
        <x:v>PRD-JVS-0242</x:v>
      </x:c>
      <x:c r="B243" t="str">
        <x:v>JVS-0242</x:v>
      </x:c>
      <x:c r="C243" t="str">
        <x:v>Kabel Luar Abu Bagus Vemsa</x:v>
      </x:c>
      <x:c r="D243" t="str">
        <x:v>Servis</x:v>
      </x:c>
      <x:c r="E243" t="str"/>
      <x:c r="F243" t="str"/>
      <x:c r="G243" s="12" t="n">
        <x:v>25</x:v>
      </x:c>
      <x:c r="H243" s="12" t="n">
        <x:v>25</x:v>
      </x:c>
      <x:c r="I243" s="12" t="n">
        <x:v>0</x:v>
      </x:c>
      <x:c r="J243" s="16" t="n">
        <x:v>0</x:v>
      </x:c>
      <x:c r="K243" s="14" t="n">
        <x:v>4</x:v>
      </x:c>
      <x:c r="L243" s="14" t="n">
        <x:v>1</x:v>
      </x:c>
      <x:c r="M243" t="str">
        <x:v>READY</x:v>
      </x:c>
      <x:c r="N243" t="str">
        <x:v>AKTIF</x:v>
      </x:c>
      <x:c r="O243" t="str"/>
      <x:c r="P243" t="str"/>
      <x:c r="Q243" t="str"/>
      <x:c r="R243" t="str"/>
      <x:c r="S243" t="str"/>
      <x:c r="T243" t="str"/>
      <x:c r="U243" s="18" t="n">
        <x:v>46134.041666666664</x:v>
      </x:c>
      <x:c r="V243" t="str">
        <x:v>INITIAL_IMPORT</x:v>
      </x:c>
    </x:row>
    <x:row r="244">
      <x:c r="A244" t="str">
        <x:v>PRD-JVS-0243</x:v>
      </x:c>
      <x:c r="B244" t="str">
        <x:v>JVS-0243</x:v>
      </x:c>
      <x:c r="C244" t="str">
        <x:v>Kabel Luar Perseneling, Gas, Kopling Vespa Biasa</x:v>
      </x:c>
      <x:c r="D244" t="str">
        <x:v>Mesin</x:v>
      </x:c>
      <x:c r="E244" t="str"/>
      <x:c r="F244" t="str"/>
      <x:c r="G244" s="12" t="n">
        <x:v>15</x:v>
      </x:c>
      <x:c r="H244" s="12" t="n">
        <x:v>15</x:v>
      </x:c>
      <x:c r="I244" s="12" t="n">
        <x:v>0</x:v>
      </x:c>
      <x:c r="J244" s="16" t="n">
        <x:v>0</x:v>
      </x:c>
      <x:c r="K244" s="14" t="n">
        <x:v>8</x:v>
      </x:c>
      <x:c r="L244" s="14" t="n">
        <x:v>1</x:v>
      </x:c>
      <x:c r="M244" t="str">
        <x:v>READY</x:v>
      </x:c>
      <x:c r="N244" t="str">
        <x:v>AKTIF</x:v>
      </x:c>
      <x:c r="O244" t="str"/>
      <x:c r="P244" t="str"/>
      <x:c r="Q244" t="str"/>
      <x:c r="R244" t="str"/>
      <x:c r="S244" t="str"/>
      <x:c r="T244" t="str"/>
      <x:c r="U244" s="18" t="n">
        <x:v>46134.041666666664</x:v>
      </x:c>
      <x:c r="V244" t="str">
        <x:v>INITIAL_IMPORT</x:v>
      </x:c>
    </x:row>
    <x:row r="245">
      <x:c r="A245" t="str">
        <x:v>PRD-JVS-0244</x:v>
      </x:c>
      <x:c r="B245" t="str">
        <x:v>JVS-0244</x:v>
      </x:c>
      <x:c r="C245" t="str">
        <x:v>Kabel Luar Rem Belakang</x:v>
      </x:c>
      <x:c r="D245" t="str">
        <x:v>Kaki-Kaki</x:v>
      </x:c>
      <x:c r="E245" t="str"/>
      <x:c r="F245" t="str"/>
      <x:c r="G245" s="12" t="n">
        <x:v>15</x:v>
      </x:c>
      <x:c r="H245" s="12" t="n">
        <x:v>15</x:v>
      </x:c>
      <x:c r="I245" s="12" t="n">
        <x:v>0</x:v>
      </x:c>
      <x:c r="J245" s="16" t="n">
        <x:v>0</x:v>
      </x:c>
      <x:c r="K245" s="14" t="n">
        <x:v>3</x:v>
      </x:c>
      <x:c r="L245" s="14" t="n">
        <x:v>1</x:v>
      </x:c>
      <x:c r="M245" t="str">
        <x:v>READY</x:v>
      </x:c>
      <x:c r="N245" t="str">
        <x:v>AKTIF</x:v>
      </x:c>
      <x:c r="O245" t="str"/>
      <x:c r="P245" t="str"/>
      <x:c r="Q245" t="str"/>
      <x:c r="R245" t="str"/>
      <x:c r="S245" t="str"/>
      <x:c r="T245" t="str"/>
      <x:c r="U245" s="18" t="n">
        <x:v>46134.041666666664</x:v>
      </x:c>
      <x:c r="V245" t="str">
        <x:v>INITIAL_IMPORT</x:v>
      </x:c>
    </x:row>
    <x:row r="246">
      <x:c r="A246" t="str">
        <x:v>PRD-JVS-0245</x:v>
      </x:c>
      <x:c r="B246" t="str">
        <x:v>JVS-0245</x:v>
      </x:c>
      <x:c r="C246" t="str">
        <x:v>Kabel Sein Body Vespa Bijian Vespa PX PS Excel</x:v>
      </x:c>
      <x:c r="D246" t="str">
        <x:v>Body</x:v>
      </x:c>
      <x:c r="E246" t="str">
        <x:v>EXCEL, PX, PS</x:v>
      </x:c>
      <x:c r="F246" t="str"/>
      <x:c r="G246" s="12" t="n">
        <x:v>15</x:v>
      </x:c>
      <x:c r="H246" s="12" t="n">
        <x:v>15</x:v>
      </x:c>
      <x:c r="I246" s="12" t="n">
        <x:v>0</x:v>
      </x:c>
      <x:c r="J246" s="16" t="n">
        <x:v>0</x:v>
      </x:c>
      <x:c r="K246" s="14" t="n">
        <x:v>8</x:v>
      </x:c>
      <x:c r="L246" s="14" t="n">
        <x:v>1</x:v>
      </x:c>
      <x:c r="M246" t="str">
        <x:v>READY</x:v>
      </x:c>
      <x:c r="N246" t="str">
        <x:v>AKTIF</x:v>
      </x:c>
      <x:c r="O246" t="str"/>
      <x:c r="P246" t="str"/>
      <x:c r="Q246" t="str"/>
      <x:c r="R246" t="str"/>
      <x:c r="S246" t="str"/>
      <x:c r="T246" t="str"/>
      <x:c r="U246" s="18" t="n">
        <x:v>46134.041666666664</x:v>
      </x:c>
      <x:c r="V246" t="str">
        <x:v>INITIAL_IMPORT</x:v>
      </x:c>
    </x:row>
    <x:row r="247">
      <x:c r="A247" t="str">
        <x:v>PRD-JVS-0246</x:v>
      </x:c>
      <x:c r="B247" t="str">
        <x:v>JVS-0246</x:v>
      </x:c>
      <x:c r="C247" t="str">
        <x:v>Kabel Spedometer Kilometer Vespa Excel Import</x:v>
      </x:c>
      <x:c r="D247" t="str">
        <x:v>Body</x:v>
      </x:c>
      <x:c r="E247" t="str">
        <x:v>EXCEL</x:v>
      </x:c>
      <x:c r="F247" t="str"/>
      <x:c r="G247" s="12" t="n">
        <x:v>35</x:v>
      </x:c>
      <x:c r="H247" s="12" t="n">
        <x:v>35</x:v>
      </x:c>
      <x:c r="I247" s="12" t="n">
        <x:v>0</x:v>
      </x:c>
      <x:c r="J247" s="16" t="n">
        <x:v>0</x:v>
      </x:c>
      <x:c r="K247" s="14" t="n">
        <x:v>2</x:v>
      </x:c>
      <x:c r="L247" s="14" t="n">
        <x:v>1</x:v>
      </x:c>
      <x:c r="M247" t="str">
        <x:v>READY</x:v>
      </x:c>
      <x:c r="N247" t="str">
        <x:v>AKTIF</x:v>
      </x:c>
      <x:c r="O247" t="str"/>
      <x:c r="P247" t="str"/>
      <x:c r="Q247" t="str"/>
      <x:c r="R247" t="str"/>
      <x:c r="S247" t="str"/>
      <x:c r="T247" t="str"/>
      <x:c r="U247" s="18" t="n">
        <x:v>46134.041666666664</x:v>
      </x:c>
      <x:c r="V247" t="str">
        <x:v>INITIAL_IMPORT</x:v>
      </x:c>
    </x:row>
    <x:row r="248">
      <x:c r="A248" t="str">
        <x:v>PRD-JVS-0247</x:v>
      </x:c>
      <x:c r="B248" t="str">
        <x:v>JVS-0247</x:v>
      </x:c>
      <x:c r="C248" t="str">
        <x:v>Kabel Spedometer Kilometer Vespa PX Import</x:v>
      </x:c>
      <x:c r="D248" t="str">
        <x:v>Body</x:v>
      </x:c>
      <x:c r="E248" t="str">
        <x:v>PX</x:v>
      </x:c>
      <x:c r="F248" t="str"/>
      <x:c r="G248" s="12" t="n">
        <x:v>35</x:v>
      </x:c>
      <x:c r="H248" s="12" t="n">
        <x:v>35</x:v>
      </x:c>
      <x:c r="I248" s="12" t="n">
        <x:v>0</x:v>
      </x:c>
      <x:c r="J248" s="16" t="n">
        <x:v>0</x:v>
      </x:c>
      <x:c r="K248" s="14" t="n">
        <x:v>2</x:v>
      </x:c>
      <x:c r="L248" s="14" t="n">
        <x:v>1</x:v>
      </x:c>
      <x:c r="M248" t="str">
        <x:v>READY</x:v>
      </x:c>
      <x:c r="N248" t="str">
        <x:v>AKTIF</x:v>
      </x:c>
      <x:c r="O248" t="str"/>
      <x:c r="P248" t="str"/>
      <x:c r="Q248" t="str"/>
      <x:c r="R248" t="str"/>
      <x:c r="S248" t="str"/>
      <x:c r="T248" t="str"/>
      <x:c r="U248" s="18" t="n">
        <x:v>46134.041666666664</x:v>
      </x:c>
      <x:c r="V248" t="str">
        <x:v>INITIAL_IMPORT</x:v>
      </x:c>
    </x:row>
    <x:row r="249">
      <x:c r="A249" t="str">
        <x:v>PRD-JVS-0248</x:v>
      </x:c>
      <x:c r="B249" t="str">
        <x:v>JVS-0248</x:v>
      </x:c>
      <x:c r="C249" t="str">
        <x:v>Kabel Spedometer Kilometer Vespa Strada Import</x:v>
      </x:c>
      <x:c r="D249" t="str">
        <x:v>Body</x:v>
      </x:c>
      <x:c r="E249" t="str">
        <x:v>STRADA</x:v>
      </x:c>
      <x:c r="F249" t="str"/>
      <x:c r="G249" s="12" t="n">
        <x:v>38</x:v>
      </x:c>
      <x:c r="H249" s="12" t="n">
        <x:v>38</x:v>
      </x:c>
      <x:c r="I249" s="12" t="n">
        <x:v>0</x:v>
      </x:c>
      <x:c r="J249" s="16" t="n">
        <x:v>0</x:v>
      </x:c>
      <x:c r="K249" s="14" t="n">
        <x:v>0</x:v>
      </x:c>
      <x:c r="L249" s="14" t="n">
        <x:v>1</x:v>
      </x:c>
      <x:c r="M249" t="str">
        <x:v>OUT OF STOCK</x:v>
      </x:c>
      <x:c r="N249" t="str">
        <x:v>AKTIF</x:v>
      </x:c>
      <x:c r="O249" t="str"/>
      <x:c r="P249" t="str"/>
      <x:c r="Q249" t="str"/>
      <x:c r="R249" t="str"/>
      <x:c r="S249" t="str"/>
      <x:c r="T249" t="str"/>
      <x:c r="U249" s="18" t="n">
        <x:v>46134.041666666664</x:v>
      </x:c>
      <x:c r="V249" t="str">
        <x:v>INITIAL_IMPORT</x:v>
      </x:c>
    </x:row>
    <x:row r="250">
      <x:c r="A250" t="str">
        <x:v>PRD-JVS-0249</x:v>
      </x:c>
      <x:c r="B250" t="str">
        <x:v>JVS-0249</x:v>
      </x:c>
      <x:c r="C250" t="str">
        <x:v>Kabel Spedometer Kilometer Vespa Super Sprint Import</x:v>
      </x:c>
      <x:c r="D250" t="str">
        <x:v>Body</x:v>
      </x:c>
      <x:c r="E250" t="str">
        <x:v>SUPER, SPRINT</x:v>
      </x:c>
      <x:c r="F250" t="str"/>
      <x:c r="G250" s="12" t="n">
        <x:v>40</x:v>
      </x:c>
      <x:c r="H250" s="12" t="n">
        <x:v>40</x:v>
      </x:c>
      <x:c r="I250" s="12" t="n">
        <x:v>0</x:v>
      </x:c>
      <x:c r="J250" s="16" t="n">
        <x:v>0</x:v>
      </x:c>
      <x:c r="K250" s="14" t="n">
        <x:v>2</x:v>
      </x:c>
      <x:c r="L250" s="14" t="n">
        <x:v>1</x:v>
      </x:c>
      <x:c r="M250" t="str">
        <x:v>READY</x:v>
      </x:c>
      <x:c r="N250" t="str">
        <x:v>AKTIF</x:v>
      </x:c>
      <x:c r="O250" t="str"/>
      <x:c r="P250" t="str"/>
      <x:c r="Q250" t="str"/>
      <x:c r="R250" t="str"/>
      <x:c r="S250" t="str"/>
      <x:c r="T250" t="str"/>
      <x:c r="U250" s="18" t="n">
        <x:v>46134.041666666664</x:v>
      </x:c>
      <x:c r="V250" t="str">
        <x:v>INITIAL_IMPORT</x:v>
      </x:c>
    </x:row>
    <x:row r="251">
      <x:c r="A251" t="str">
        <x:v>PRD-JVS-0250</x:v>
      </x:c>
      <x:c r="B251" t="str">
        <x:v>JVS-0250</x:v>
      </x:c>
      <x:c r="C251" t="str">
        <x:v>Kabel Spul 5 Kabel</x:v>
      </x:c>
      <x:c r="D251" t="str">
        <x:v>Kelistrikan</x:v>
      </x:c>
      <x:c r="E251" t="str"/>
      <x:c r="F251" t="str"/>
      <x:c r="G251" s="12" t="n">
        <x:v>17</x:v>
      </x:c>
      <x:c r="H251" s="12" t="n">
        <x:v>17</x:v>
      </x:c>
      <x:c r="I251" s="12" t="n">
        <x:v>0</x:v>
      </x:c>
      <x:c r="J251" s="16" t="n">
        <x:v>0</x:v>
      </x:c>
      <x:c r="K251" s="14" t="n">
        <x:v>4</x:v>
      </x:c>
      <x:c r="L251" s="14" t="n">
        <x:v>1</x:v>
      </x:c>
      <x:c r="M251" t="str">
        <x:v>READY</x:v>
      </x:c>
      <x:c r="N251" t="str">
        <x:v>AKTIF</x:v>
      </x:c>
      <x:c r="O251" t="str"/>
      <x:c r="P251" t="str"/>
      <x:c r="Q251" t="str"/>
      <x:c r="R251" t="str"/>
      <x:c r="S251" t="str"/>
      <x:c r="T251" t="str"/>
      <x:c r="U251" s="18" t="n">
        <x:v>46134.041666666664</x:v>
      </x:c>
      <x:c r="V251" t="str">
        <x:v>INITIAL_IMPORT</x:v>
      </x:c>
    </x:row>
    <x:row r="252">
      <x:c r="A252" t="str">
        <x:v>PRD-JVS-0251</x:v>
      </x:c>
      <x:c r="B252" t="str">
        <x:v>JVS-0251</x:v>
      </x:c>
      <x:c r="C252" t="str">
        <x:v>Kaca Headlamp Vespa Excel Danmotor</x:v>
      </x:c>
      <x:c r="D252" t="str">
        <x:v>Mesin</x:v>
      </x:c>
      <x:c r="E252" t="str">
        <x:v>EXCEL</x:v>
      </x:c>
      <x:c r="F252" t="str"/>
      <x:c r="G252" s="12" t="n">
        <x:v>75</x:v>
      </x:c>
      <x:c r="H252" s="12" t="n">
        <x:v>75</x:v>
      </x:c>
      <x:c r="I252" s="12" t="n">
        <x:v>0</x:v>
      </x:c>
      <x:c r="J252" s="16" t="n">
        <x:v>0</x:v>
      </x:c>
      <x:c r="K252" s="14" t="n">
        <x:v>1</x:v>
      </x:c>
      <x:c r="L252" s="14" t="n">
        <x:v>1</x:v>
      </x:c>
      <x:c r="M252" t="str">
        <x:v>LOW</x:v>
      </x:c>
      <x:c r="N252" t="str">
        <x:v>AKTIF</x:v>
      </x:c>
      <x:c r="O252" t="str"/>
      <x:c r="P252" t="str"/>
      <x:c r="Q252" t="str"/>
      <x:c r="R252" t="str"/>
      <x:c r="S252" t="str"/>
      <x:c r="T252" t="str"/>
      <x:c r="U252" s="18" t="n">
        <x:v>46134.041666666664</x:v>
      </x:c>
      <x:c r="V252" t="str">
        <x:v>INITIAL_IMPORT</x:v>
      </x:c>
    </x:row>
    <x:row r="253">
      <x:c r="A253" t="str">
        <x:v>PRD-JVS-0252</x:v>
      </x:c>
      <x:c r="B253" t="str">
        <x:v>JVS-0252</x:v>
      </x:c>
      <x:c r="C253" t="str">
        <x:v>Kaca Headlamp Vespa PX</x:v>
      </x:c>
      <x:c r="D253" t="str">
        <x:v>Mesin</x:v>
      </x:c>
      <x:c r="E253" t="str">
        <x:v>PX</x:v>
      </x:c>
      <x:c r="F253" t="str"/>
      <x:c r="G253" s="12" t="n">
        <x:v>45</x:v>
      </x:c>
      <x:c r="H253" s="12" t="n">
        <x:v>45</x:v>
      </x:c>
      <x:c r="I253" s="12" t="n">
        <x:v>0</x:v>
      </x:c>
      <x:c r="J253" s="16" t="n">
        <x:v>0</x:v>
      </x:c>
      <x:c r="K253" s="14" t="n">
        <x:v>3</x:v>
      </x:c>
      <x:c r="L253" s="14" t="n">
        <x:v>1</x:v>
      </x:c>
      <x:c r="M253" t="str">
        <x:v>READY</x:v>
      </x:c>
      <x:c r="N253" t="str">
        <x:v>AKTIF</x:v>
      </x:c>
      <x:c r="O253" t="str"/>
      <x:c r="P253" t="str"/>
      <x:c r="Q253" t="str"/>
      <x:c r="R253" t="str"/>
      <x:c r="S253" t="str"/>
      <x:c r="T253" t="str"/>
      <x:c r="U253" s="18" t="n">
        <x:v>46134.041666666664</x:v>
      </x:c>
      <x:c r="V253" t="str">
        <x:v>INITIAL_IMPORT</x:v>
      </x:c>
    </x:row>
    <x:row r="254">
      <x:c r="A254" t="str">
        <x:v>PRD-JVS-0253</x:v>
      </x:c>
      <x:c r="B254" t="str">
        <x:v>JVS-0253</x:v>
      </x:c>
      <x:c r="C254" t="str">
        <x:v>Kaca Headlamp Vespa Super</x:v>
      </x:c>
      <x:c r="D254" t="str">
        <x:v>Mesin</x:v>
      </x:c>
      <x:c r="E254" t="str">
        <x:v>SUPER</x:v>
      </x:c>
      <x:c r="F254" t="str"/>
      <x:c r="G254" s="12" t="n">
        <x:v>40</x:v>
      </x:c>
      <x:c r="H254" s="12" t="n">
        <x:v>40</x:v>
      </x:c>
      <x:c r="I254" s="12" t="n">
        <x:v>0</x:v>
      </x:c>
      <x:c r="J254" s="16" t="n">
        <x:v>0</x:v>
      </x:c>
      <x:c r="K254" s="14" t="n">
        <x:v>2</x:v>
      </x:c>
      <x:c r="L254" s="14" t="n">
        <x:v>1</x:v>
      </x:c>
      <x:c r="M254" t="str">
        <x:v>READY</x:v>
      </x:c>
      <x:c r="N254" t="str">
        <x:v>AKTIF</x:v>
      </x:c>
      <x:c r="O254" t="str"/>
      <x:c r="P254" t="str"/>
      <x:c r="Q254" t="str"/>
      <x:c r="R254" t="str"/>
      <x:c r="S254" t="str"/>
      <x:c r="T254" t="str"/>
      <x:c r="U254" s="18" t="n">
        <x:v>46134.041666666664</x:v>
      </x:c>
      <x:c r="V254" t="str">
        <x:v>INITIAL_IMPORT</x:v>
      </x:c>
    </x:row>
    <x:row r="255">
      <x:c r="A255" t="str">
        <x:v>PRD-JVS-0254</x:v>
      </x:c>
      <x:c r="B255" t="str">
        <x:v>JVS-0254</x:v>
      </x:c>
      <x:c r="C255" t="str">
        <x:v>Kampas Kopling Per 6 Merk Biasa</x:v>
      </x:c>
      <x:c r="D255" t="str">
        <x:v>Mesin</x:v>
      </x:c>
      <x:c r="E255" t="str"/>
      <x:c r="F255" t="str"/>
      <x:c r="G255" s="12" t="n">
        <x:v>35</x:v>
      </x:c>
      <x:c r="H255" s="12" t="n">
        <x:v>35</x:v>
      </x:c>
      <x:c r="I255" s="12" t="n">
        <x:v>0</x:v>
      </x:c>
      <x:c r="J255" s="16" t="n">
        <x:v>0</x:v>
      </x:c>
      <x:c r="K255" s="14" t="n">
        <x:v>4</x:v>
      </x:c>
      <x:c r="L255" s="14" t="n">
        <x:v>1</x:v>
      </x:c>
      <x:c r="M255" t="str">
        <x:v>READY</x:v>
      </x:c>
      <x:c r="N255" t="str">
        <x:v>AKTIF</x:v>
      </x:c>
      <x:c r="O255" t="str"/>
      <x:c r="P255" t="str"/>
      <x:c r="Q255" t="str"/>
      <x:c r="R255" t="str"/>
      <x:c r="S255" t="str"/>
      <x:c r="T255" t="str"/>
      <x:c r="U255" s="18" t="n">
        <x:v>46134.041666666664</x:v>
      </x:c>
      <x:c r="V255" t="str">
        <x:v>INITIAL_IMPORT</x:v>
      </x:c>
    </x:row>
    <x:row r="256">
      <x:c r="A256" t="str">
        <x:v>PRD-JVS-0255</x:v>
      </x:c>
      <x:c r="B256" t="str">
        <x:v>JVS-0255</x:v>
      </x:c>
      <x:c r="C256" t="str">
        <x:v>Kampas Kopling Per 6 Merk Danmotor</x:v>
      </x:c>
      <x:c r="D256" t="str">
        <x:v>Mesin</x:v>
      </x:c>
      <x:c r="E256" t="str"/>
      <x:c r="F256" t="str"/>
      <x:c r="G256" s="12" t="n">
        <x:v>130</x:v>
      </x:c>
      <x:c r="H256" s="12" t="n">
        <x:v>130</x:v>
      </x:c>
      <x:c r="I256" s="12" t="n">
        <x:v>0</x:v>
      </x:c>
      <x:c r="J256" s="16" t="n">
        <x:v>0</x:v>
      </x:c>
      <x:c r="K256" s="14" t="n">
        <x:v>1</x:v>
      </x:c>
      <x:c r="L256" s="14" t="n">
        <x:v>1</x:v>
      </x:c>
      <x:c r="M256" t="str">
        <x:v>LOW</x:v>
      </x:c>
      <x:c r="N256" t="str">
        <x:v>AKTIF</x:v>
      </x:c>
      <x:c r="O256" t="str"/>
      <x:c r="P256" t="str"/>
      <x:c r="Q256" t="str"/>
      <x:c r="R256" t="str"/>
      <x:c r="S256" t="str"/>
      <x:c r="T256" t="str"/>
      <x:c r="U256" s="18" t="n">
        <x:v>46134.041666666664</x:v>
      </x:c>
      <x:c r="V256" t="str">
        <x:v>INITIAL_IMPORT</x:v>
      </x:c>
    </x:row>
    <x:row r="257">
      <x:c r="A257" t="str">
        <x:v>PRD-JVS-0256</x:v>
      </x:c>
      <x:c r="B257" t="str">
        <x:v>JVS-0256</x:v>
      </x:c>
      <x:c r="C257" t="str">
        <x:v>Kampas Kopling Per 7 Merk Biasa</x:v>
      </x:c>
      <x:c r="D257" t="str">
        <x:v>Mesin</x:v>
      </x:c>
      <x:c r="E257" t="str"/>
      <x:c r="F257" t="str"/>
      <x:c r="G257" s="12" t="n">
        <x:v>40</x:v>
      </x:c>
      <x:c r="H257" s="12" t="n">
        <x:v>40</x:v>
      </x:c>
      <x:c r="I257" s="12" t="n">
        <x:v>0</x:v>
      </x:c>
      <x:c r="J257" s="16" t="n">
        <x:v>0</x:v>
      </x:c>
      <x:c r="K257" s="14" t="n">
        <x:v>3</x:v>
      </x:c>
      <x:c r="L257" s="14" t="n">
        <x:v>1</x:v>
      </x:c>
      <x:c r="M257" t="str">
        <x:v>READY</x:v>
      </x:c>
      <x:c r="N257" t="str">
        <x:v>AKTIF</x:v>
      </x:c>
      <x:c r="O257" t="str"/>
      <x:c r="P257" t="str"/>
      <x:c r="Q257" t="str"/>
      <x:c r="R257" t="str"/>
      <x:c r="S257" t="str"/>
      <x:c r="T257" t="str"/>
      <x:c r="U257" s="18" t="n">
        <x:v>46134.041666666664</x:v>
      </x:c>
      <x:c r="V257" t="str">
        <x:v>INITIAL_IMPORT</x:v>
      </x:c>
    </x:row>
    <x:row r="258">
      <x:c r="A258" t="str">
        <x:v>PRD-JVS-0257</x:v>
      </x:c>
      <x:c r="B258" t="str">
        <x:v>JVS-0257</x:v>
      </x:c>
      <x:c r="C258" t="str">
        <x:v>Kampas Kopling per 7 Merk Danmotor</x:v>
      </x:c>
      <x:c r="D258" t="str">
        <x:v>Mesin</x:v>
      </x:c>
      <x:c r="E258" t="str"/>
      <x:c r="F258" t="str"/>
      <x:c r="G258" s="12" t="n">
        <x:v>160</x:v>
      </x:c>
      <x:c r="H258" s="12" t="n">
        <x:v>160</x:v>
      </x:c>
      <x:c r="I258" s="12" t="n">
        <x:v>0</x:v>
      </x:c>
      <x:c r="J258" s="16" t="n">
        <x:v>0</x:v>
      </x:c>
      <x:c r="K258" s="14" t="n">
        <x:v>1</x:v>
      </x:c>
      <x:c r="L258" s="14" t="n">
        <x:v>1</x:v>
      </x:c>
      <x:c r="M258" t="str">
        <x:v>LOW</x:v>
      </x:c>
      <x:c r="N258" t="str">
        <x:v>AKTIF</x:v>
      </x:c>
      <x:c r="O258" t="str"/>
      <x:c r="P258" t="str"/>
      <x:c r="Q258" t="str"/>
      <x:c r="R258" t="str"/>
      <x:c r="S258" t="str"/>
      <x:c r="T258" t="str"/>
      <x:c r="U258" s="18" t="n">
        <x:v>46134.041666666664</x:v>
      </x:c>
      <x:c r="V258" t="str">
        <x:v>INITIAL_IMPORT</x:v>
      </x:c>
    </x:row>
    <x:row r="259">
      <x:c r="A259" t="str">
        <x:v>PRD-JVS-0258</x:v>
      </x:c>
      <x:c r="B259" t="str">
        <x:v>JVS-0258</x:v>
      </x:c>
      <x:c r="C259" t="str">
        <x:v>Kampas Rem Belakang Vespa PTS Forma AZ151</x:v>
      </x:c>
      <x:c r="D259" t="str">
        <x:v>Kaki-Kaki</x:v>
      </x:c>
      <x:c r="E259" t="str">
        <x:v>PTS</x:v>
      </x:c>
      <x:c r="F259" t="str"/>
      <x:c r="G259" s="12" t="n">
        <x:v>40</x:v>
      </x:c>
      <x:c r="H259" s="12" t="n">
        <x:v>40</x:v>
      </x:c>
      <x:c r="I259" s="12" t="n">
        <x:v>0</x:v>
      </x:c>
      <x:c r="J259" s="16" t="n">
        <x:v>0</x:v>
      </x:c>
      <x:c r="K259" s="14" t="n">
        <x:v>1</x:v>
      </x:c>
      <x:c r="L259" s="14" t="n">
        <x:v>1</x:v>
      </x:c>
      <x:c r="M259" t="str">
        <x:v>LOW</x:v>
      </x:c>
      <x:c r="N259" t="str">
        <x:v>AKTIF</x:v>
      </x:c>
      <x:c r="O259" t="str"/>
      <x:c r="P259" t="str"/>
      <x:c r="Q259" t="str"/>
      <x:c r="R259" t="str"/>
      <x:c r="S259" t="str"/>
      <x:c r="T259" t="str"/>
      <x:c r="U259" s="18" t="n">
        <x:v>46134.041666666664</x:v>
      </x:c>
      <x:c r="V259" t="str">
        <x:v>INITIAL_IMPORT</x:v>
      </x:c>
    </x:row>
    <x:row r="260">
      <x:c r="A260" t="str">
        <x:v>PRD-JVS-0259</x:v>
      </x:c>
      <x:c r="B260" t="str">
        <x:v>JVS-0259</x:v>
      </x:c>
      <x:c r="C260" t="str">
        <x:v>Kampas Rem Belakang Vespa VBB Bajaj Kenong Forma AZ136</x:v>
      </x:c>
      <x:c r="D260" t="str">
        <x:v>Kaki-Kaki</x:v>
      </x:c>
      <x:c r="E260" t="str">
        <x:v>VBB, BAJAJ</x:v>
      </x:c>
      <x:c r="F260" t="str"/>
      <x:c r="G260" s="12" t="n">
        <x:v>40</x:v>
      </x:c>
      <x:c r="H260" s="12" t="n">
        <x:v>40</x:v>
      </x:c>
      <x:c r="I260" s="12" t="n">
        <x:v>0</x:v>
      </x:c>
      <x:c r="J260" s="16" t="n">
        <x:v>0</x:v>
      </x:c>
      <x:c r="K260" s="14" t="n">
        <x:v>2</x:v>
      </x:c>
      <x:c r="L260" s="14" t="n">
        <x:v>1</x:v>
      </x:c>
      <x:c r="M260" t="str">
        <x:v>READY</x:v>
      </x:c>
      <x:c r="N260" t="str">
        <x:v>AKTIF</x:v>
      </x:c>
      <x:c r="O260" t="str"/>
      <x:c r="P260" t="str"/>
      <x:c r="Q260" t="str"/>
      <x:c r="R260" t="str"/>
      <x:c r="S260" t="str"/>
      <x:c r="T260" t="str"/>
      <x:c r="U260" s="18" t="n">
        <x:v>46134.041666666664</x:v>
      </x:c>
      <x:c r="V260" t="str">
        <x:v>INITIAL_IMPORT</x:v>
      </x:c>
    </x:row>
    <x:row r="261">
      <x:c r="A261" t="str">
        <x:v>PRD-JVS-0260</x:v>
      </x:c>
      <x:c r="B261" t="str">
        <x:v>JVS-0260</x:v>
      </x:c>
      <x:c r="C261" t="str">
        <x:v>Kampas Rem Ring 10 Bagian Belakang PX Sprint Forma AZ133</x:v>
      </x:c>
      <x:c r="D261" t="str">
        <x:v>Kaki-Kaki</x:v>
      </x:c>
      <x:c r="E261" t="str">
        <x:v>PX, SPRINT</x:v>
      </x:c>
      <x:c r="F261" t="str"/>
      <x:c r="G261" s="12" t="n">
        <x:v>40</x:v>
      </x:c>
      <x:c r="H261" s="12" t="n">
        <x:v>40</x:v>
      </x:c>
      <x:c r="I261" s="12" t="n">
        <x:v>0</x:v>
      </x:c>
      <x:c r="J261" s="16" t="n">
        <x:v>0</x:v>
      </x:c>
      <x:c r="K261" s="14" t="n">
        <x:v>0</x:v>
      </x:c>
      <x:c r="L261" s="14" t="n">
        <x:v>1</x:v>
      </x:c>
      <x:c r="M261" t="str">
        <x:v>OUT OF STOCK</x:v>
      </x:c>
      <x:c r="N261" t="str">
        <x:v>AKTIF</x:v>
      </x:c>
      <x:c r="O261" t="str"/>
      <x:c r="P261" t="str"/>
      <x:c r="Q261" t="str"/>
      <x:c r="R261" t="str"/>
      <x:c r="S261" t="str"/>
      <x:c r="T261" t="str"/>
      <x:c r="U261" s="18" t="n">
        <x:v>46134.041666666664</x:v>
      </x:c>
      <x:c r="V261" t="str">
        <x:v>INITIAL_IMPORT</x:v>
      </x:c>
    </x:row>
    <x:row r="262">
      <x:c r="A262" t="str">
        <x:v>PRD-JVS-0261</x:v>
      </x:c>
      <x:c r="B262" t="str">
        <x:v>JVS-0261</x:v>
      </x:c>
      <x:c r="C262" t="str">
        <x:v>Kampas Rem Ring 10 Bagian Depan Sprint Forma AZ24</x:v>
      </x:c>
      <x:c r="D262" t="str">
        <x:v>Kaki-Kaki</x:v>
      </x:c>
      <x:c r="E262" t="str">
        <x:v>SPRINT</x:v>
      </x:c>
      <x:c r="F262" t="str"/>
      <x:c r="G262" s="12" t="n">
        <x:v>40</x:v>
      </x:c>
      <x:c r="H262" s="12" t="n">
        <x:v>40</x:v>
      </x:c>
      <x:c r="I262" s="12" t="n">
        <x:v>0</x:v>
      </x:c>
      <x:c r="J262" s="16" t="n">
        <x:v>0</x:v>
      </x:c>
      <x:c r="K262" s="14" t="n">
        <x:v>1</x:v>
      </x:c>
      <x:c r="L262" s="14" t="n">
        <x:v>1</x:v>
      </x:c>
      <x:c r="M262" t="str">
        <x:v>LOW</x:v>
      </x:c>
      <x:c r="N262" t="str">
        <x:v>AKTIF</x:v>
      </x:c>
      <x:c r="O262" t="str"/>
      <x:c r="P262" t="str"/>
      <x:c r="Q262" t="str"/>
      <x:c r="R262" t="str"/>
      <x:c r="S262" t="str"/>
      <x:c r="T262" t="str"/>
      <x:c r="U262" s="18" t="n">
        <x:v>46134.041666666664</x:v>
      </x:c>
      <x:c r="V262" t="str">
        <x:v>INITIAL_IMPORT</x:v>
      </x:c>
    </x:row>
    <x:row r="263">
      <x:c r="A263" t="str">
        <x:v>PRD-JVS-0262</x:v>
      </x:c>
      <x:c r="B263" t="str">
        <x:v>JVS-0262</x:v>
      </x:c>
      <x:c r="C263" t="str">
        <x:v>Kampas Rem Ring 8 Bagian Belakang Super PS Forma AZ150</x:v>
      </x:c>
      <x:c r="D263" t="str">
        <x:v>Kaki-Kaki</x:v>
      </x:c>
      <x:c r="E263" t="str">
        <x:v>SUPER, PS</x:v>
      </x:c>
      <x:c r="F263" t="str"/>
      <x:c r="G263" s="12" t="n">
        <x:v>37</x:v>
      </x:c>
      <x:c r="H263" s="12" t="n">
        <x:v>37</x:v>
      </x:c>
      <x:c r="I263" s="12" t="n">
        <x:v>0</x:v>
      </x:c>
      <x:c r="J263" s="16" t="n">
        <x:v>0</x:v>
      </x:c>
      <x:c r="K263" s="14" t="n">
        <x:v>1</x:v>
      </x:c>
      <x:c r="L263" s="14" t="n">
        <x:v>1</x:v>
      </x:c>
      <x:c r="M263" t="str">
        <x:v>LOW</x:v>
      </x:c>
      <x:c r="N263" t="str">
        <x:v>AKTIF</x:v>
      </x:c>
      <x:c r="O263" t="str"/>
      <x:c r="P263" t="str"/>
      <x:c r="Q263" t="str"/>
      <x:c r="R263" t="str"/>
      <x:c r="S263" t="str"/>
      <x:c r="T263" t="str"/>
      <x:c r="U263" s="18" t="n">
        <x:v>46134.041666666664</x:v>
      </x:c>
      <x:c r="V263" t="str">
        <x:v>INITIAL_IMPORT</x:v>
      </x:c>
    </x:row>
    <x:row r="264">
      <x:c r="A264" t="str">
        <x:v>PRD-JVS-0263</x:v>
      </x:c>
      <x:c r="B264" t="str">
        <x:v>JVS-0263</x:v>
      </x:c>
      <x:c r="C264" t="str">
        <x:v>Kampas Rem Ring 8 Bagian Depan Super AZ149</x:v>
      </x:c>
      <x:c r="D264" t="str">
        <x:v>Kaki-Kaki</x:v>
      </x:c>
      <x:c r="E264" t="str">
        <x:v>SUPER</x:v>
      </x:c>
      <x:c r="F264" t="str"/>
      <x:c r="G264" s="12" t="n">
        <x:v>37</x:v>
      </x:c>
      <x:c r="H264" s="12" t="n">
        <x:v>37</x:v>
      </x:c>
      <x:c r="I264" s="12" t="n">
        <x:v>0</x:v>
      </x:c>
      <x:c r="J264" s="16" t="n">
        <x:v>0</x:v>
      </x:c>
      <x:c r="K264" s="14" t="n">
        <x:v>2</x:v>
      </x:c>
      <x:c r="L264" s="14" t="n">
        <x:v>1</x:v>
      </x:c>
      <x:c r="M264" t="str">
        <x:v>READY</x:v>
      </x:c>
      <x:c r="N264" t="str">
        <x:v>AKTIF</x:v>
      </x:c>
      <x:c r="O264" t="str"/>
      <x:c r="P264" t="str"/>
      <x:c r="Q264" t="str"/>
      <x:c r="R264" t="str"/>
      <x:c r="S264" t="str"/>
      <x:c r="T264" t="str"/>
      <x:c r="U264" s="18" t="n">
        <x:v>46134.041666666664</x:v>
      </x:c>
      <x:c r="V264" t="str">
        <x:v>INITIAL_IMPORT</x:v>
      </x:c>
    </x:row>
    <x:row r="265">
      <x:c r="A265" t="str">
        <x:v>PRD-JVS-0264</x:v>
      </x:c>
      <x:c r="B265" t="str">
        <x:v>JVS-0264</x:v>
      </x:c>
      <x:c r="C265" t="str">
        <x:v>Kampas Rem Ring 8 Bagian Depan VBB Forma AZ87</x:v>
      </x:c>
      <x:c r="D265" t="str">
        <x:v>Kaki-Kaki</x:v>
      </x:c>
      <x:c r="E265" t="str">
        <x:v>VBB</x:v>
      </x:c>
      <x:c r="F265" t="str"/>
      <x:c r="G265" s="12" t="n">
        <x:v>40</x:v>
      </x:c>
      <x:c r="H265" s="12" t="n">
        <x:v>40</x:v>
      </x:c>
      <x:c r="I265" s="12" t="n">
        <x:v>0</x:v>
      </x:c>
      <x:c r="J265" s="16" t="n">
        <x:v>0</x:v>
      </x:c>
      <x:c r="K265" s="14" t="n">
        <x:v>2</x:v>
      </x:c>
      <x:c r="L265" s="14" t="n">
        <x:v>1</x:v>
      </x:c>
      <x:c r="M265" t="str">
        <x:v>READY</x:v>
      </x:c>
      <x:c r="N265" t="str">
        <x:v>AKTIF</x:v>
      </x:c>
      <x:c r="O265" t="str"/>
      <x:c r="P265" t="str"/>
      <x:c r="Q265" t="str"/>
      <x:c r="R265" t="str"/>
      <x:c r="S265" t="str"/>
      <x:c r="T265" t="str"/>
      <x:c r="U265" s="18" t="n">
        <x:v>46134.041666666664</x:v>
      </x:c>
      <x:c r="V265" t="str">
        <x:v>INITIAL_IMPORT</x:v>
      </x:c>
    </x:row>
    <x:row r="266">
      <x:c r="A266" t="str">
        <x:v>PRD-JVS-0265</x:v>
      </x:c>
      <x:c r="B266" t="str">
        <x:v>JVS-0265</x:v>
      </x:c>
      <x:c r="C266" t="str">
        <x:v>Kampas rem vemsa AZ133 Racing</x:v>
      </x:c>
      <x:c r="D266" t="str">
        <x:v>Kaki-Kaki</x:v>
      </x:c>
      <x:c r="E266" t="str"/>
      <x:c r="F266" t="str"/>
      <x:c r="G266" s="12" t="n">
        <x:v>95</x:v>
      </x:c>
      <x:c r="H266" s="12" t="n">
        <x:v>95</x:v>
      </x:c>
      <x:c r="I266" s="12" t="n">
        <x:v>0</x:v>
      </x:c>
      <x:c r="J266" s="16" t="n">
        <x:v>0</x:v>
      </x:c>
      <x:c r="K266" s="14" t="n">
        <x:v>0</x:v>
      </x:c>
      <x:c r="L266" s="14" t="n">
        <x:v>1</x:v>
      </x:c>
      <x:c r="M266" t="str">
        <x:v>OUT OF STOCK</x:v>
      </x:c>
      <x:c r="N266" t="str">
        <x:v>AKTIF</x:v>
      </x:c>
      <x:c r="O266" t="str"/>
      <x:c r="P266" t="str"/>
      <x:c r="Q266" t="str"/>
      <x:c r="R266" t="str"/>
      <x:c r="S266" t="str"/>
      <x:c r="T266" t="str"/>
      <x:c r="U266" s="18" t="n">
        <x:v>46134.041666666664</x:v>
      </x:c>
      <x:c r="V266" t="str">
        <x:v>INITIAL_IMPORT</x:v>
      </x:c>
    </x:row>
    <x:row r="267">
      <x:c r="A267" t="str">
        <x:v>PRD-JVS-0266</x:v>
      </x:c>
      <x:c r="B267" t="str">
        <x:v>JVS-0266</x:v>
      </x:c>
      <x:c r="C267" t="str">
        <x:v>Kampas rem vemsa AZ150 Racing Super</x:v>
      </x:c>
      <x:c r="D267" t="str">
        <x:v>Kaki-Kaki</x:v>
      </x:c>
      <x:c r="E267" t="str">
        <x:v>SUPER</x:v>
      </x:c>
      <x:c r="F267" t="str"/>
      <x:c r="G267" s="12" t="n">
        <x:v>95</x:v>
      </x:c>
      <x:c r="H267" s="12" t="n">
        <x:v>95</x:v>
      </x:c>
      <x:c r="I267" s="12" t="n">
        <x:v>0</x:v>
      </x:c>
      <x:c r="J267" s="16" t="n">
        <x:v>0</x:v>
      </x:c>
      <x:c r="K267" s="14" t="n">
        <x:v>1</x:v>
      </x:c>
      <x:c r="L267" s="14" t="n">
        <x:v>1</x:v>
      </x:c>
      <x:c r="M267" t="str">
        <x:v>LOW</x:v>
      </x:c>
      <x:c r="N267" t="str">
        <x:v>AKTIF</x:v>
      </x:c>
      <x:c r="O267" t="str"/>
      <x:c r="P267" t="str"/>
      <x:c r="Q267" t="str"/>
      <x:c r="R267" t="str"/>
      <x:c r="S267" t="str"/>
      <x:c r="T267" t="str"/>
      <x:c r="U267" s="18" t="n">
        <x:v>46134.041666666664</x:v>
      </x:c>
      <x:c r="V267" t="str">
        <x:v>INITIAL_IMPORT</x:v>
      </x:c>
    </x:row>
    <x:row r="268">
      <x:c r="A268" t="str">
        <x:v>PRD-JVS-0267</x:v>
      </x:c>
      <x:c r="B268" t="str">
        <x:v>JVS-0267</x:v>
      </x:c>
      <x:c r="C268" t="str">
        <x:v>Karet Bantalan Selah Vespa PTS</x:v>
      </x:c>
      <x:c r="D268" t="str">
        <x:v>Mesin</x:v>
      </x:c>
      <x:c r="E268" t="str">
        <x:v>PTS</x:v>
      </x:c>
      <x:c r="F268" t="str"/>
      <x:c r="G268" s="12" t="n">
        <x:v>8</x:v>
      </x:c>
      <x:c r="H268" s="12" t="n">
        <x:v>8</x:v>
      </x:c>
      <x:c r="I268" s="12" t="n">
        <x:v>0</x:v>
      </x:c>
      <x:c r="J268" s="16" t="n">
        <x:v>0</x:v>
      </x:c>
      <x:c r="K268" s="14" t="n">
        <x:v>6</x:v>
      </x:c>
      <x:c r="L268" s="14" t="n">
        <x:v>1</x:v>
      </x:c>
      <x:c r="M268" t="str">
        <x:v>READY</x:v>
      </x:c>
      <x:c r="N268" t="str">
        <x:v>AKTIF</x:v>
      </x:c>
      <x:c r="O268" t="str"/>
      <x:c r="P268" t="str"/>
      <x:c r="Q268" t="str"/>
      <x:c r="R268" t="str"/>
      <x:c r="S268" t="str"/>
      <x:c r="T268" t="str"/>
      <x:c r="U268" s="18" t="n">
        <x:v>46134.041666666664</x:v>
      </x:c>
      <x:c r="V268" t="str">
        <x:v>INITIAL_IMPORT</x:v>
      </x:c>
    </x:row>
    <x:row r="269">
      <x:c r="A269" t="str">
        <x:v>PRD-JVS-0268</x:v>
      </x:c>
      <x:c r="B269" t="str">
        <x:v>JVS-0268</x:v>
      </x:c>
      <x:c r="C269" t="str">
        <x:v>Karet Bantalan Selah Vespa PX</x:v>
      </x:c>
      <x:c r="D269" t="str">
        <x:v>Mesin</x:v>
      </x:c>
      <x:c r="E269" t="str">
        <x:v>PX</x:v>
      </x:c>
      <x:c r="F269" t="str"/>
      <x:c r="G269" s="12" t="n">
        <x:v>5</x:v>
      </x:c>
      <x:c r="H269" s="12" t="n">
        <x:v>5</x:v>
      </x:c>
      <x:c r="I269" s="12" t="n">
        <x:v>0</x:v>
      </x:c>
      <x:c r="J269" s="16" t="n">
        <x:v>0</x:v>
      </x:c>
      <x:c r="K269" s="14" t="n">
        <x:v>23</x:v>
      </x:c>
      <x:c r="L269" s="14" t="n">
        <x:v>1</x:v>
      </x:c>
      <x:c r="M269" t="str">
        <x:v>READY</x:v>
      </x:c>
      <x:c r="N269" t="str">
        <x:v>AKTIF</x:v>
      </x:c>
      <x:c r="O269" t="str"/>
      <x:c r="P269" t="str"/>
      <x:c r="Q269" t="str"/>
      <x:c r="R269" t="str"/>
      <x:c r="S269" t="str"/>
      <x:c r="T269" t="str"/>
      <x:c r="U269" s="18" t="n">
        <x:v>46134.041666666664</x:v>
      </x:c>
      <x:c r="V269" t="str">
        <x:v>INITIAL_IMPORT</x:v>
      </x:c>
    </x:row>
    <x:row r="270">
      <x:c r="A270" t="str">
        <x:v>PRD-JVS-0269</x:v>
      </x:c>
      <x:c r="B270" t="str">
        <x:v>JVS-0269</x:v>
      </x:c>
      <x:c r="C270" t="str">
        <x:v>Karet Bantalan Shockbreaker depan set mur dan ring Vespa PXE PX Excel</x:v>
      </x:c>
      <x:c r="D270" t="str">
        <x:v>Kaki-Kaki</x:v>
      </x:c>
      <x:c r="E270" t="str">
        <x:v>EXCEL, PXE, PX</x:v>
      </x:c>
      <x:c r="F270" t="str"/>
      <x:c r="G270" s="12" t="str"/>
      <x:c r="H270" s="12" t="str"/>
      <x:c r="I270" s="12" t="str"/>
      <x:c r="J270" s="16" t="str"/>
      <x:c r="K270" s="14" t="n">
        <x:v>5</x:v>
      </x:c>
      <x:c r="L270" s="14" t="n">
        <x:v>1</x:v>
      </x:c>
      <x:c r="M270" t="str">
        <x:v>READY</x:v>
      </x:c>
      <x:c r="N270" t="str">
        <x:v>AKTIF</x:v>
      </x:c>
      <x:c r="O270" t="str"/>
      <x:c r="P270" t="str"/>
      <x:c r="Q270" t="str"/>
      <x:c r="R270" t="str"/>
      <x:c r="S270" t="str"/>
      <x:c r="T270" t="str"/>
      <x:c r="U270" s="18" t="n">
        <x:v>46134.041666666664</x:v>
      </x:c>
      <x:c r="V270" t="str">
        <x:v>INITIAL_IMPORT</x:v>
      </x:c>
    </x:row>
    <x:row r="271">
      <x:c r="A271" t="str">
        <x:v>PRD-JVS-0270</x:v>
      </x:c>
      <x:c r="B271" t="str">
        <x:v>JVS-0270</x:v>
      </x:c>
      <x:c r="C271" t="str">
        <x:v>Karet Bawah Tangki Vespa</x:v>
      </x:c>
      <x:c r="D271" t="str">
        <x:v>Servis</x:v>
      </x:c>
      <x:c r="E271" t="str"/>
      <x:c r="F271" t="str"/>
      <x:c r="G271" s="12" t="n">
        <x:v>15</x:v>
      </x:c>
      <x:c r="H271" s="12" t="n">
        <x:v>15</x:v>
      </x:c>
      <x:c r="I271" s="12" t="n">
        <x:v>0</x:v>
      </x:c>
      <x:c r="J271" s="16" t="n">
        <x:v>0</x:v>
      </x:c>
      <x:c r="K271" s="14" t="n">
        <x:v>2</x:v>
      </x:c>
      <x:c r="L271" s="14" t="n">
        <x:v>1</x:v>
      </x:c>
      <x:c r="M271" t="str">
        <x:v>READY</x:v>
      </x:c>
      <x:c r="N271" t="str">
        <x:v>AKTIF</x:v>
      </x:c>
      <x:c r="O271" t="str"/>
      <x:c r="P271" t="str"/>
      <x:c r="Q271" t="str"/>
      <x:c r="R271" t="str"/>
      <x:c r="S271" t="str"/>
      <x:c r="T271" t="str"/>
      <x:c r="U271" s="18" t="n">
        <x:v>46134.041666666664</x:v>
      </x:c>
      <x:c r="V271" t="str">
        <x:v>INITIAL_IMPORT</x:v>
      </x:c>
    </x:row>
    <x:row r="272">
      <x:c r="A272" t="str">
        <x:v>PRD-JVS-0271</x:v>
      </x:c>
      <x:c r="B272" t="str">
        <x:v>JVS-0271</x:v>
      </x:c>
      <x:c r="C272" t="str">
        <x:v>Karet Box Lis Bagasi Vespa PX Merk Danmotor</x:v>
      </x:c>
      <x:c r="D272" t="str">
        <x:v>Servis</x:v>
      </x:c>
      <x:c r="E272" t="str">
        <x:v>PX</x:v>
      </x:c>
      <x:c r="F272" t="str"/>
      <x:c r="G272" s="12" t="n">
        <x:v>45</x:v>
      </x:c>
      <x:c r="H272" s="12" t="n">
        <x:v>45</x:v>
      </x:c>
      <x:c r="I272" s="12" t="n">
        <x:v>0</x:v>
      </x:c>
      <x:c r="J272" s="16" t="n">
        <x:v>0</x:v>
      </x:c>
      <x:c r="K272" s="14" t="n">
        <x:v>2</x:v>
      </x:c>
      <x:c r="L272" s="14" t="n">
        <x:v>1</x:v>
      </x:c>
      <x:c r="M272" t="str">
        <x:v>READY</x:v>
      </x:c>
      <x:c r="N272" t="str">
        <x:v>AKTIF</x:v>
      </x:c>
      <x:c r="O272" t="str"/>
      <x:c r="P272" t="str"/>
      <x:c r="Q272" t="str"/>
      <x:c r="R272" t="str"/>
      <x:c r="S272" t="str"/>
      <x:c r="T272" t="str"/>
      <x:c r="U272" s="18" t="n">
        <x:v>46134.041666666664</x:v>
      </x:c>
      <x:c r="V272" t="str">
        <x:v>INITIAL_IMPORT</x:v>
      </x:c>
    </x:row>
    <x:row r="273">
      <x:c r="A273" t="str">
        <x:v>PRD-JVS-0272</x:v>
      </x:c>
      <x:c r="B273" t="str">
        <x:v>JVS-0272</x:v>
      </x:c>
      <x:c r="C273" t="str">
        <x:v>Karet Cover Handle Set Kiri Kanan Hitam Import</x:v>
      </x:c>
      <x:c r="D273" t="str">
        <x:v>Body</x:v>
      </x:c>
      <x:c r="E273" t="str"/>
      <x:c r="F273" t="str"/>
      <x:c r="G273" s="12" t="n">
        <x:v>25</x:v>
      </x:c>
      <x:c r="H273" s="12" t="n">
        <x:v>25</x:v>
      </x:c>
      <x:c r="I273" s="12" t="n">
        <x:v>0</x:v>
      </x:c>
      <x:c r="J273" s="16" t="n">
        <x:v>0</x:v>
      </x:c>
      <x:c r="K273" s="14" t="n">
        <x:v>3</x:v>
      </x:c>
      <x:c r="L273" s="14" t="n">
        <x:v>1</x:v>
      </x:c>
      <x:c r="M273" t="str">
        <x:v>READY</x:v>
      </x:c>
      <x:c r="N273" t="str">
        <x:v>AKTIF</x:v>
      </x:c>
      <x:c r="O273" t="str"/>
      <x:c r="P273" t="str"/>
      <x:c r="Q273" t="str"/>
      <x:c r="R273" t="str"/>
      <x:c r="S273" t="str"/>
      <x:c r="T273" t="str"/>
      <x:c r="U273" s="18" t="n">
        <x:v>46134.041666666664</x:v>
      </x:c>
      <x:c r="V273" t="str">
        <x:v>INITIAL_IMPORT</x:v>
      </x:c>
    </x:row>
    <x:row r="274">
      <x:c r="A274" t="str">
        <x:v>PRD-JVS-0273</x:v>
      </x:c>
      <x:c r="B274" t="str">
        <x:v>JVS-0273</x:v>
      </x:c>
      <x:c r="C274" t="str">
        <x:v>Karet Hawa Filter Karburator Lokal Panjang</x:v>
      </x:c>
      <x:c r="D274" t="str">
        <x:v>Mesin</x:v>
      </x:c>
      <x:c r="E274" t="str"/>
      <x:c r="F274" t="str"/>
      <x:c r="G274" s="12" t="n">
        <x:v>20</x:v>
      </x:c>
      <x:c r="H274" s="12" t="n">
        <x:v>20</x:v>
      </x:c>
      <x:c r="I274" s="12" t="n">
        <x:v>0</x:v>
      </x:c>
      <x:c r="J274" s="16" t="n">
        <x:v>0</x:v>
      </x:c>
      <x:c r="K274" s="14" t="n">
        <x:v>0</x:v>
      </x:c>
      <x:c r="L274" s="14" t="n">
        <x:v>1</x:v>
      </x:c>
      <x:c r="M274" t="str">
        <x:v>OUT OF STOCK</x:v>
      </x:c>
      <x:c r="N274" t="str">
        <x:v>AKTIF</x:v>
      </x:c>
      <x:c r="O274" t="str"/>
      <x:c r="P274" t="str"/>
      <x:c r="Q274" t="str"/>
      <x:c r="R274" t="str"/>
      <x:c r="S274" t="str"/>
      <x:c r="T274" t="str"/>
      <x:c r="U274" s="18" t="n">
        <x:v>46134.041666666664</x:v>
      </x:c>
      <x:c r="V274" t="str">
        <x:v>INITIAL_IMPORT</x:v>
      </x:c>
    </x:row>
    <x:row r="275">
      <x:c r="A275" t="str">
        <x:v>PRD-JVS-0274</x:v>
      </x:c>
      <x:c r="B275" t="str">
        <x:v>JVS-0274</x:v>
      </x:c>
      <x:c r="C275" t="str">
        <x:v>Karet Hawa Filter Karburator Lokal Pendek</x:v>
      </x:c>
      <x:c r="D275" t="str">
        <x:v>Mesin</x:v>
      </x:c>
      <x:c r="E275" t="str"/>
      <x:c r="F275" t="str"/>
      <x:c r="G275" s="12" t="n">
        <x:v>18</x:v>
      </x:c>
      <x:c r="H275" s="12" t="n">
        <x:v>18</x:v>
      </x:c>
      <x:c r="I275" s="12" t="n">
        <x:v>0</x:v>
      </x:c>
      <x:c r="J275" s="16" t="n">
        <x:v>0</x:v>
      </x:c>
      <x:c r="K275" s="14" t="n">
        <x:v>4</x:v>
      </x:c>
      <x:c r="L275" s="14" t="n">
        <x:v>1</x:v>
      </x:c>
      <x:c r="M275" t="str">
        <x:v>READY</x:v>
      </x:c>
      <x:c r="N275" t="str">
        <x:v>AKTIF</x:v>
      </x:c>
      <x:c r="O275" t="str"/>
      <x:c r="P275" t="str"/>
      <x:c r="Q275" t="str"/>
      <x:c r="R275" t="str"/>
      <x:c r="S275" t="str"/>
      <x:c r="T275" t="str"/>
      <x:c r="U275" s="18" t="n">
        <x:v>46134.041666666664</x:v>
      </x:c>
      <x:c r="V275" t="str">
        <x:v>INITIAL_IMPORT</x:v>
      </x:c>
    </x:row>
    <x:row r="276">
      <x:c r="A276" t="str">
        <x:v>PRD-JVS-0275</x:v>
      </x:c>
      <x:c r="B276" t="str">
        <x:v>JVS-0275</x:v>
      </x:c>
      <x:c r="C276" t="str">
        <x:v>Karet Kaitan Tepong Bagian Besi Ke Body</x:v>
      </x:c>
      <x:c r="D276" t="str">
        <x:v>Body</x:v>
      </x:c>
      <x:c r="E276" t="str"/>
      <x:c r="F276" t="str"/>
      <x:c r="G276" s="12" t="n">
        <x:v>5</x:v>
      </x:c>
      <x:c r="H276" s="12" t="n">
        <x:v>5</x:v>
      </x:c>
      <x:c r="I276" s="12" t="n">
        <x:v>0</x:v>
      </x:c>
      <x:c r="J276" s="16" t="n">
        <x:v>0</x:v>
      </x:c>
      <x:c r="K276" s="14" t="n">
        <x:v>8</x:v>
      </x:c>
      <x:c r="L276" s="14" t="n">
        <x:v>1</x:v>
      </x:c>
      <x:c r="M276" t="str">
        <x:v>READY</x:v>
      </x:c>
      <x:c r="N276" t="str">
        <x:v>AKTIF</x:v>
      </x:c>
      <x:c r="O276" t="str"/>
      <x:c r="P276" t="str"/>
      <x:c r="Q276" t="str"/>
      <x:c r="R276" t="str"/>
      <x:c r="S276" t="str"/>
      <x:c r="T276" t="str"/>
      <x:c r="U276" s="18" t="n">
        <x:v>46134.041666666664</x:v>
      </x:c>
      <x:c r="V276" t="str">
        <x:v>INITIAL_IMPORT</x:v>
      </x:c>
    </x:row>
    <x:row r="277">
      <x:c r="A277" t="str">
        <x:v>PRD-JVS-0276</x:v>
      </x:c>
      <x:c r="B277" t="str">
        <x:v>JVS-0276</x:v>
      </x:c>
      <x:c r="C277" t="str">
        <x:v>Karet Klakson Vespa Super Sprint Vbb Bajaj ABU</x:v>
      </x:c>
      <x:c r="D277" t="str">
        <x:v>Servis</x:v>
      </x:c>
      <x:c r="E277" t="str">
        <x:v>SUPER, SPRINT, VBB, BAJAJ</x:v>
      </x:c>
      <x:c r="F277" t="str"/>
      <x:c r="G277" s="12" t="n">
        <x:v>18</x:v>
      </x:c>
      <x:c r="H277" s="12" t="n">
        <x:v>18</x:v>
      </x:c>
      <x:c r="I277" s="12" t="n">
        <x:v>0</x:v>
      </x:c>
      <x:c r="J277" s="16" t="n">
        <x:v>0</x:v>
      </x:c>
      <x:c r="K277" s="14" t="n">
        <x:v>5</x:v>
      </x:c>
      <x:c r="L277" s="14" t="n">
        <x:v>1</x:v>
      </x:c>
      <x:c r="M277" t="str">
        <x:v>READY</x:v>
      </x:c>
      <x:c r="N277" t="str">
        <x:v>AKTIF</x:v>
      </x:c>
      <x:c r="O277" t="str"/>
      <x:c r="P277" t="str"/>
      <x:c r="Q277" t="str"/>
      <x:c r="R277" t="str"/>
      <x:c r="S277" t="str"/>
      <x:c r="T277" t="str"/>
      <x:c r="U277" s="18" t="n">
        <x:v>46134.041666666664</x:v>
      </x:c>
      <x:c r="V277" t="str">
        <x:v>INITIAL_IMPORT</x:v>
      </x:c>
    </x:row>
    <x:row r="278">
      <x:c r="A278" t="str">
        <x:v>PRD-JVS-0277</x:v>
      </x:c>
      <x:c r="B278" t="str">
        <x:v>JVS-0277</x:v>
      </x:c>
      <x:c r="C278" t="str">
        <x:v>Karet Klakson Vespa Super Sprint Vbb Bajaj Hitam</x:v>
      </x:c>
      <x:c r="D278" t="str">
        <x:v>Servis</x:v>
      </x:c>
      <x:c r="E278" t="str">
        <x:v>SUPER, SPRINT, VBB, BAJAJ</x:v>
      </x:c>
      <x:c r="F278" t="str"/>
      <x:c r="G278" s="12" t="n">
        <x:v>25</x:v>
      </x:c>
      <x:c r="H278" s="12" t="n">
        <x:v>25</x:v>
      </x:c>
      <x:c r="I278" s="12" t="n">
        <x:v>0</x:v>
      </x:c>
      <x:c r="J278" s="16" t="n">
        <x:v>0</x:v>
      </x:c>
      <x:c r="K278" s="14" t="n">
        <x:v>4</x:v>
      </x:c>
      <x:c r="L278" s="14" t="n">
        <x:v>1</x:v>
      </x:c>
      <x:c r="M278" t="str">
        <x:v>READY</x:v>
      </x:c>
      <x:c r="N278" t="str">
        <x:v>AKTIF</x:v>
      </x:c>
      <x:c r="O278" t="str"/>
      <x:c r="P278" t="str"/>
      <x:c r="Q278" t="str"/>
      <x:c r="R278" t="str"/>
      <x:c r="S278" t="str"/>
      <x:c r="T278" t="str"/>
      <x:c r="U278" s="18" t="n">
        <x:v>46134.041666666664</x:v>
      </x:c>
      <x:c r="V278" t="str">
        <x:v>INITIAL_IMPORT</x:v>
      </x:c>
    </x:row>
    <x:row r="279">
      <x:c r="A279" t="str">
        <x:v>PRD-JVS-0278</x:v>
      </x:c>
      <x:c r="B279" t="str">
        <x:v>JVS-0278</x:v>
      </x:c>
      <x:c r="C279" t="str">
        <x:v>Karet Klakson Vespa Super Sprint Vbb Bajaj Putih</x:v>
      </x:c>
      <x:c r="D279" t="str">
        <x:v>Servis</x:v>
      </x:c>
      <x:c r="E279" t="str">
        <x:v>SUPER, SPRINT, VBB, BAJAJ</x:v>
      </x:c>
      <x:c r="F279" t="str"/>
      <x:c r="G279" s="12" t="n">
        <x:v>15</x:v>
      </x:c>
      <x:c r="H279" s="12" t="n">
        <x:v>15</x:v>
      </x:c>
      <x:c r="I279" s="12" t="n">
        <x:v>0</x:v>
      </x:c>
      <x:c r="J279" s="16" t="n">
        <x:v>0</x:v>
      </x:c>
      <x:c r="K279" s="14" t="n">
        <x:v>1</x:v>
      </x:c>
      <x:c r="L279" s="14" t="n">
        <x:v>1</x:v>
      </x:c>
      <x:c r="M279" t="str">
        <x:v>LOW</x:v>
      </x:c>
      <x:c r="N279" t="str">
        <x:v>AKTIF</x:v>
      </x:c>
      <x:c r="O279" t="str"/>
      <x:c r="P279" t="str"/>
      <x:c r="Q279" t="str"/>
      <x:c r="R279" t="str"/>
      <x:c r="S279" t="str"/>
      <x:c r="T279" t="str"/>
      <x:c r="U279" s="18" t="n">
        <x:v>46134.041666666664</x:v>
      </x:c>
      <x:c r="V279" t="str">
        <x:v>INITIAL_IMPORT</x:v>
      </x:c>
    </x:row>
    <x:row r="280">
      <x:c r="A280" t="str">
        <x:v>PRD-JVS-0279</x:v>
      </x:c>
      <x:c r="B280" t="str">
        <x:v>JVS-0279</x:v>
      </x:c>
      <x:c r="C280" t="str">
        <x:v>Karet Koil karet CDI BGM Vespa</x:v>
      </x:c>
      <x:c r="D280" t="str">
        <x:v>Kelistrikan</x:v>
      </x:c>
      <x:c r="E280" t="str"/>
      <x:c r="F280" t="str"/>
      <x:c r="G280" s="12" t="str"/>
      <x:c r="H280" s="12" t="str"/>
      <x:c r="I280" s="12" t="str"/>
      <x:c r="J280" s="16" t="str"/>
      <x:c r="K280" s="14" t="n">
        <x:v>2</x:v>
      </x:c>
      <x:c r="L280" s="14" t="n">
        <x:v>1</x:v>
      </x:c>
      <x:c r="M280" t="str">
        <x:v>READY</x:v>
      </x:c>
      <x:c r="N280" t="str">
        <x:v>AKTIF</x:v>
      </x:c>
      <x:c r="O280" t="str"/>
      <x:c r="P280" t="str"/>
      <x:c r="Q280" t="str"/>
      <x:c r="R280" t="str"/>
      <x:c r="S280" t="str"/>
      <x:c r="T280" t="str"/>
      <x:c r="U280" s="18" t="n">
        <x:v>46134.041666666664</x:v>
      </x:c>
      <x:c r="V280" t="str">
        <x:v>INITIAL_IMPORT</x:v>
      </x:c>
    </x:row>
    <x:row r="281">
      <x:c r="A281" t="str">
        <x:v>PRD-JVS-0280</x:v>
      </x:c>
      <x:c r="B281" t="str">
        <x:v>JVS-0280</x:v>
      </x:c>
      <x:c r="C281" t="str">
        <x:v>Karet Kran Bensin Lubang 4</x:v>
      </x:c>
      <x:c r="D281" t="str">
        <x:v>Servis</x:v>
      </x:c>
      <x:c r="E281" t="str"/>
      <x:c r="F281" t="str"/>
      <x:c r="G281" s="12" t="n">
        <x:v>5</x:v>
      </x:c>
      <x:c r="H281" s="12" t="n">
        <x:v>5</x:v>
      </x:c>
      <x:c r="I281" s="12" t="n">
        <x:v>0</x:v>
      </x:c>
      <x:c r="J281" s="16" t="n">
        <x:v>0</x:v>
      </x:c>
      <x:c r="K281" s="14" t="n">
        <x:v>3</x:v>
      </x:c>
      <x:c r="L281" s="14" t="n">
        <x:v>1</x:v>
      </x:c>
      <x:c r="M281" t="str">
        <x:v>READY</x:v>
      </x:c>
      <x:c r="N281" t="str">
        <x:v>AKTIF</x:v>
      </x:c>
      <x:c r="O281" t="str"/>
      <x:c r="P281" t="str"/>
      <x:c r="Q281" t="str"/>
      <x:c r="R281" t="str"/>
      <x:c r="S281" t="str"/>
      <x:c r="T281" t="str"/>
      <x:c r="U281" s="18" t="n">
        <x:v>46134.041666666664</x:v>
      </x:c>
      <x:c r="V281" t="str">
        <x:v>INITIAL_IMPORT</x:v>
      </x:c>
    </x:row>
    <x:row r="282">
      <x:c r="A282" t="str">
        <x:v>PRD-JVS-0281</x:v>
      </x:c>
      <x:c r="B282" t="str">
        <x:v>JVS-0281</x:v>
      </x:c>
      <x:c r="C282" t="str">
        <x:v>Karet Kuncian Stang Vespa PXE Excel</x:v>
      </x:c>
      <x:c r="D282" t="str">
        <x:v>Body</x:v>
      </x:c>
      <x:c r="E282" t="str">
        <x:v>EXCEL, PXE, PX</x:v>
      </x:c>
      <x:c r="F282" t="str"/>
      <x:c r="G282" s="12" t="str"/>
      <x:c r="H282" s="12" t="str"/>
      <x:c r="I282" s="12" t="str"/>
      <x:c r="J282" s="16" t="str"/>
      <x:c r="K282" s="14" t="n">
        <x:v>2</x:v>
      </x:c>
      <x:c r="L282" s="14" t="n">
        <x:v>1</x:v>
      </x:c>
      <x:c r="M282" t="str">
        <x:v>READY</x:v>
      </x:c>
      <x:c r="N282" t="str">
        <x:v>AKTIF</x:v>
      </x:c>
      <x:c r="O282" t="str"/>
      <x:c r="P282" t="str"/>
      <x:c r="Q282" t="str"/>
      <x:c r="R282" t="str"/>
      <x:c r="S282" t="str"/>
      <x:c r="T282" t="str"/>
      <x:c r="U282" s="18" t="n">
        <x:v>46134.041666666664</x:v>
      </x:c>
      <x:c r="V282" t="str">
        <x:v>INITIAL_IMPORT</x:v>
      </x:c>
    </x:row>
    <x:row r="283">
      <x:c r="A283" t="str">
        <x:v>PRD-JVS-0282</x:v>
      </x:c>
      <x:c r="B283" t="str">
        <x:v>JVS-0282</x:v>
      </x:c>
      <x:c r="C283" t="str">
        <x:v>Karet Kuncian Stang Vespa Super Sprint</x:v>
      </x:c>
      <x:c r="D283" t="str">
        <x:v>Body</x:v>
      </x:c>
      <x:c r="E283" t="str">
        <x:v>SUPER, SPRINT</x:v>
      </x:c>
      <x:c r="F283" t="str"/>
      <x:c r="G283" s="12" t="str"/>
      <x:c r="H283" s="12" t="str"/>
      <x:c r="I283" s="12" t="str"/>
      <x:c r="J283" s="16" t="str"/>
      <x:c r="K283" s="14" t="n">
        <x:v>4</x:v>
      </x:c>
      <x:c r="L283" s="14" t="n">
        <x:v>1</x:v>
      </x:c>
      <x:c r="M283" t="str">
        <x:v>READY</x:v>
      </x:c>
      <x:c r="N283" t="str">
        <x:v>AKTIF</x:v>
      </x:c>
      <x:c r="O283" t="str"/>
      <x:c r="P283" t="str"/>
      <x:c r="Q283" t="str"/>
      <x:c r="R283" t="str"/>
      <x:c r="S283" t="str"/>
      <x:c r="T283" t="str"/>
      <x:c r="U283" s="18" t="n">
        <x:v>46134.041666666664</x:v>
      </x:c>
      <x:c r="V283" t="str">
        <x:v>INITIAL_IMPORT</x:v>
      </x:c>
    </x:row>
    <x:row r="284">
      <x:c r="A284" t="str">
        <x:v>PRD-JVS-0283</x:v>
      </x:c>
      <x:c r="B284" t="str">
        <x:v>JVS-0283</x:v>
      </x:c>
      <x:c r="C284" t="str">
        <x:v>Karet Lidah Tengah Body Tengah Vespa Super Sprint Biasa</x:v>
      </x:c>
      <x:c r="D284" t="str">
        <x:v>Body</x:v>
      </x:c>
      <x:c r="E284" t="str">
        <x:v>SUPER, SPRINT</x:v>
      </x:c>
      <x:c r="F284" t="str"/>
      <x:c r="G284" s="12" t="n">
        <x:v>20</x:v>
      </x:c>
      <x:c r="H284" s="12" t="n">
        <x:v>20</x:v>
      </x:c>
      <x:c r="I284" s="12" t="n">
        <x:v>0</x:v>
      </x:c>
      <x:c r="J284" s="16" t="n">
        <x:v>0</x:v>
      </x:c>
      <x:c r="K284" s="14" t="n">
        <x:v>1</x:v>
      </x:c>
      <x:c r="L284" s="14" t="n">
        <x:v>1</x:v>
      </x:c>
      <x:c r="M284" t="str">
        <x:v>LOW</x:v>
      </x:c>
      <x:c r="N284" t="str">
        <x:v>AKTIF</x:v>
      </x:c>
      <x:c r="O284" t="str"/>
      <x:c r="P284" t="str"/>
      <x:c r="Q284" t="str"/>
      <x:c r="R284" t="str"/>
      <x:c r="S284" t="str"/>
      <x:c r="T284" t="str"/>
      <x:c r="U284" s="18" t="n">
        <x:v>46134.041666666664</x:v>
      </x:c>
      <x:c r="V284" t="str">
        <x:v>INITIAL_IMPORT</x:v>
      </x:c>
    </x:row>
    <x:row r="285">
      <x:c r="A285" t="str">
        <x:v>PRD-JVS-0284</x:v>
      </x:c>
      <x:c r="B285" t="str">
        <x:v>JVS-0284</x:v>
      </x:c>
      <x:c r="C285" t="str">
        <x:v>Karet Lidah Tengah Super Sprint Metalplast Hitam</x:v>
      </x:c>
      <x:c r="D285" t="str">
        <x:v>Servis</x:v>
      </x:c>
      <x:c r="E285" t="str">
        <x:v>SUPER, SPRINT</x:v>
      </x:c>
      <x:c r="F285" t="str"/>
      <x:c r="G285" s="12" t="n">
        <x:v>30</x:v>
      </x:c>
      <x:c r="H285" s="12" t="n">
        <x:v>30</x:v>
      </x:c>
      <x:c r="I285" s="12" t="n">
        <x:v>0</x:v>
      </x:c>
      <x:c r="J285" s="16" t="n">
        <x:v>0</x:v>
      </x:c>
      <x:c r="K285" s="14" t="n">
        <x:v>1</x:v>
      </x:c>
      <x:c r="L285" s="14" t="n">
        <x:v>1</x:v>
      </x:c>
      <x:c r="M285" t="str">
        <x:v>LOW</x:v>
      </x:c>
      <x:c r="N285" t="str">
        <x:v>AKTIF</x:v>
      </x:c>
      <x:c r="O285" t="str"/>
      <x:c r="P285" t="str"/>
      <x:c r="Q285" t="str"/>
      <x:c r="R285" t="str"/>
      <x:c r="S285" t="str"/>
      <x:c r="T285" t="str"/>
      <x:c r="U285" s="18" t="n">
        <x:v>46134.041666666664</x:v>
      </x:c>
      <x:c r="V285" t="str">
        <x:v>INITIAL_IMPORT</x:v>
      </x:c>
    </x:row>
    <x:row r="286">
      <x:c r="A286" t="str">
        <x:v>PRD-JVS-0285</x:v>
      </x:c>
      <x:c r="B286" t="str">
        <x:v>JVS-0285</x:v>
      </x:c>
      <x:c r="C286" t="str">
        <x:v>Karet Lidah Tengah Vespa PTS</x:v>
      </x:c>
      <x:c r="D286" t="str">
        <x:v>Servis</x:v>
      </x:c>
      <x:c r="E286" t="str">
        <x:v>PTS</x:v>
      </x:c>
      <x:c r="F286" t="str"/>
      <x:c r="G286" s="12" t="n">
        <x:v>20</x:v>
      </x:c>
      <x:c r="H286" s="12" t="n">
        <x:v>20</x:v>
      </x:c>
      <x:c r="I286" s="12" t="n">
        <x:v>0</x:v>
      </x:c>
      <x:c r="J286" s="16" t="n">
        <x:v>0</x:v>
      </x:c>
      <x:c r="K286" s="14" t="n">
        <x:v>1</x:v>
      </x:c>
      <x:c r="L286" s="14" t="n">
        <x:v>1</x:v>
      </x:c>
      <x:c r="M286" t="str">
        <x:v>LOW</x:v>
      </x:c>
      <x:c r="N286" t="str">
        <x:v>AKTIF</x:v>
      </x:c>
      <x:c r="O286" t="str"/>
      <x:c r="P286" t="str"/>
      <x:c r="Q286" t="str"/>
      <x:c r="R286" t="str"/>
      <x:c r="S286" t="str"/>
      <x:c r="T286" t="str"/>
      <x:c r="U286" s="18" t="n">
        <x:v>46134.041666666664</x:v>
      </x:c>
      <x:c r="V286" t="str">
        <x:v>INITIAL_IMPORT</x:v>
      </x:c>
    </x:row>
    <x:row r="287">
      <x:c r="A287" t="str">
        <x:v>PRD-JVS-0286</x:v>
      </x:c>
      <x:c r="B287" t="str">
        <x:v>JVS-0286</x:v>
      </x:c>
      <x:c r="C287" t="str">
        <x:v>Karet Lidah Tengah Vespa PX Hitam</x:v>
      </x:c>
      <x:c r="D287" t="str">
        <x:v>Servis</x:v>
      </x:c>
      <x:c r="E287" t="str">
        <x:v>PX</x:v>
      </x:c>
      <x:c r="F287" t="str"/>
      <x:c r="G287" s="12" t="n">
        <x:v>20</x:v>
      </x:c>
      <x:c r="H287" s="12" t="n">
        <x:v>20</x:v>
      </x:c>
      <x:c r="I287" s="12" t="n">
        <x:v>0</x:v>
      </x:c>
      <x:c r="J287" s="16" t="n">
        <x:v>0</x:v>
      </x:c>
      <x:c r="K287" s="14" t="n">
        <x:v>1</x:v>
      </x:c>
      <x:c r="L287" s="14" t="n">
        <x:v>1</x:v>
      </x:c>
      <x:c r="M287" t="str">
        <x:v>LOW</x:v>
      </x:c>
      <x:c r="N287" t="str">
        <x:v>AKTIF</x:v>
      </x:c>
      <x:c r="O287" t="str"/>
      <x:c r="P287" t="str"/>
      <x:c r="Q287" t="str"/>
      <x:c r="R287" t="str"/>
      <x:c r="S287" t="str"/>
      <x:c r="T287" t="str"/>
      <x:c r="U287" s="18" t="n">
        <x:v>46134.041666666664</x:v>
      </x:c>
      <x:c r="V287" t="str">
        <x:v>INITIAL_IMPORT</x:v>
      </x:c>
    </x:row>
    <x:row r="288">
      <x:c r="A288" t="str">
        <x:v>PRD-JVS-0287</x:v>
      </x:c>
      <x:c r="B288" t="str">
        <x:v>JVS-0287</x:v>
      </x:c>
      <x:c r="C288" t="str">
        <x:v>Karet Lidah Tengah Vespa PX Hitam Metalplast</x:v>
      </x:c>
      <x:c r="D288" t="str">
        <x:v>Servis</x:v>
      </x:c>
      <x:c r="E288" t="str">
        <x:v>PX</x:v>
      </x:c>
      <x:c r="F288" t="str"/>
      <x:c r="G288" s="12" t="n">
        <x:v>35</x:v>
      </x:c>
      <x:c r="H288" s="12" t="n">
        <x:v>35</x:v>
      </x:c>
      <x:c r="I288" s="12" t="n">
        <x:v>0</x:v>
      </x:c>
      <x:c r="J288" s="16" t="n">
        <x:v>0</x:v>
      </x:c>
      <x:c r="K288" s="14" t="n">
        <x:v>4</x:v>
      </x:c>
      <x:c r="L288" s="14" t="n">
        <x:v>1</x:v>
      </x:c>
      <x:c r="M288" t="str">
        <x:v>READY</x:v>
      </x:c>
      <x:c r="N288" t="str">
        <x:v>AKTIF</x:v>
      </x:c>
      <x:c r="O288" t="str"/>
      <x:c r="P288" t="str"/>
      <x:c r="Q288" t="str"/>
      <x:c r="R288" t="str"/>
      <x:c r="S288" t="str"/>
      <x:c r="T288" t="str"/>
      <x:c r="U288" s="18" t="n">
        <x:v>46134.041666666664</x:v>
      </x:c>
      <x:c r="V288" t="str">
        <x:v>INITIAL_IMPORT</x:v>
      </x:c>
    </x:row>
    <x:row r="289">
      <x:c r="A289" t="str">
        <x:v>PRD-JVS-0288</x:v>
      </x:c>
      <x:c r="B289" t="str">
        <x:v>JVS-0288</x:v>
      </x:c>
      <x:c r="C289" t="str">
        <x:v>Karet Lis Dada Layar Depan Vespa</x:v>
      </x:c>
      <x:c r="D289" t="str">
        <x:v>Servis</x:v>
      </x:c>
      <x:c r="E289" t="str"/>
      <x:c r="F289" t="str"/>
      <x:c r="G289" s="12" t="n">
        <x:v>30</x:v>
      </x:c>
      <x:c r="H289" s="12" t="n">
        <x:v>30</x:v>
      </x:c>
      <x:c r="I289" s="12" t="n">
        <x:v>0</x:v>
      </x:c>
      <x:c r="J289" s="16" t="n">
        <x:v>0</x:v>
      </x:c>
      <x:c r="K289" s="14" t="n">
        <x:v>2</x:v>
      </x:c>
      <x:c r="L289" s="14" t="n">
        <x:v>1</x:v>
      </x:c>
      <x:c r="M289" t="str">
        <x:v>READY</x:v>
      </x:c>
      <x:c r="N289" t="str">
        <x:v>AKTIF</x:v>
      </x:c>
      <x:c r="O289" t="str"/>
      <x:c r="P289" t="str"/>
      <x:c r="Q289" t="str"/>
      <x:c r="R289" t="str"/>
      <x:c r="S289" t="str"/>
      <x:c r="T289" t="str"/>
      <x:c r="U289" s="18" t="n">
        <x:v>46134.041666666664</x:v>
      </x:c>
      <x:c r="V289" t="str">
        <x:v>INITIAL_IMPORT</x:v>
      </x:c>
    </x:row>
    <x:row r="290">
      <x:c r="A290" t="str">
        <x:v>PRD-JVS-0289</x:v>
      </x:c>
      <x:c r="B290" t="str">
        <x:v>JVS-0289</x:v>
      </x:c>
      <x:c r="C290" t="str">
        <x:v>Karet Lis Tutup Karburator Vespa Danmotor</x:v>
      </x:c>
      <x:c r="D290" t="str">
        <x:v>Mesin</x:v>
      </x:c>
      <x:c r="E290" t="str"/>
      <x:c r="F290" t="str"/>
      <x:c r="G290" s="12" t="str"/>
      <x:c r="H290" s="12" t="str"/>
      <x:c r="I290" s="12" t="str"/>
      <x:c r="J290" s="16" t="str"/>
      <x:c r="K290" s="14" t="n">
        <x:v>16</x:v>
      </x:c>
      <x:c r="L290" s="14" t="n">
        <x:v>1</x:v>
      </x:c>
      <x:c r="M290" t="str">
        <x:v>READY</x:v>
      </x:c>
      <x:c r="N290" t="str">
        <x:v>AKTIF</x:v>
      </x:c>
      <x:c r="O290" t="str"/>
      <x:c r="P290" t="str"/>
      <x:c r="Q290" t="str"/>
      <x:c r="R290" t="str"/>
      <x:c r="S290" t="str"/>
      <x:c r="T290" t="str"/>
      <x:c r="U290" s="18" t="n">
        <x:v>46134.041666666664</x:v>
      </x:c>
      <x:c r="V290" t="str">
        <x:v>INITIAL_IMPORT</x:v>
      </x:c>
    </x:row>
    <x:row r="291">
      <x:c r="A291" t="str">
        <x:v>PRD-JVS-0290</x:v>
      </x:c>
      <x:c r="B291" t="str">
        <x:v>JVS-0290</x:v>
      </x:c>
      <x:c r="C291" t="str">
        <x:v>Karet Manipol Intake Karburator Jepangan 28</x:v>
      </x:c>
      <x:c r="D291" t="str">
        <x:v>Mesin</x:v>
      </x:c>
      <x:c r="E291" t="str"/>
      <x:c r="F291" t="str"/>
      <x:c r="G291" s="12" t="n">
        <x:v>15</x:v>
      </x:c>
      <x:c r="H291" s="12" t="n">
        <x:v>15</x:v>
      </x:c>
      <x:c r="I291" s="12" t="n">
        <x:v>0</x:v>
      </x:c>
      <x:c r="J291" s="16" t="n">
        <x:v>0</x:v>
      </x:c>
      <x:c r="K291" s="14" t="n">
        <x:v>0</x:v>
      </x:c>
      <x:c r="L291" s="14" t="n">
        <x:v>1</x:v>
      </x:c>
      <x:c r="M291" t="str">
        <x:v>OUT OF STOCK</x:v>
      </x:c>
      <x:c r="N291" t="str">
        <x:v>AKTIF</x:v>
      </x:c>
      <x:c r="O291" t="str"/>
      <x:c r="P291" t="str"/>
      <x:c r="Q291" t="str"/>
      <x:c r="R291" t="str"/>
      <x:c r="S291" t="str"/>
      <x:c r="T291" t="str"/>
      <x:c r="U291" s="18" t="n">
        <x:v>46134.041666666664</x:v>
      </x:c>
      <x:c r="V291" t="str">
        <x:v>INITIAL_IMPORT</x:v>
      </x:c>
    </x:row>
    <x:row r="292">
      <x:c r="A292" t="str">
        <x:v>PRD-JVS-0291</x:v>
      </x:c>
      <x:c r="B292" t="str">
        <x:v>JVS-0291</x:v>
      </x:c>
      <x:c r="C292" t="str">
        <x:v>Karet Pedal Rem Vespa PX Danmotor</x:v>
      </x:c>
      <x:c r="D292" t="str">
        <x:v>Kaki-Kaki</x:v>
      </x:c>
      <x:c r="E292" t="str">
        <x:v>PX</x:v>
      </x:c>
      <x:c r="F292" t="str"/>
      <x:c r="G292" s="12" t="n">
        <x:v>13.5</x:v>
      </x:c>
      <x:c r="H292" s="12" t="n">
        <x:v>13.5</x:v>
      </x:c>
      <x:c r="I292" s="12" t="n">
        <x:v>0</x:v>
      </x:c>
      <x:c r="J292" s="16" t="n">
        <x:v>0</x:v>
      </x:c>
      <x:c r="K292" s="14" t="n">
        <x:v>3</x:v>
      </x:c>
      <x:c r="L292" s="14" t="n">
        <x:v>1</x:v>
      </x:c>
      <x:c r="M292" t="str">
        <x:v>READY</x:v>
      </x:c>
      <x:c r="N292" t="str">
        <x:v>AKTIF</x:v>
      </x:c>
      <x:c r="O292" t="str"/>
      <x:c r="P292" t="str"/>
      <x:c r="Q292" t="str"/>
      <x:c r="R292" t="str"/>
      <x:c r="S292" t="str"/>
      <x:c r="T292" t="str"/>
      <x:c r="U292" s="18" t="n">
        <x:v>46134.041666666664</x:v>
      </x:c>
      <x:c r="V292" t="str">
        <x:v>INITIAL_IMPORT</x:v>
      </x:c>
    </x:row>
    <x:row r="293">
      <x:c r="A293" t="str">
        <x:v>PRD-JVS-0292</x:v>
      </x:c>
      <x:c r="B293" t="str">
        <x:v>JVS-0292</x:v>
      </x:c>
      <x:c r="C293" t="str">
        <x:v>Karet Pedal Rem Vespa Super Import</x:v>
      </x:c>
      <x:c r="D293" t="str">
        <x:v>Kaki-Kaki</x:v>
      </x:c>
      <x:c r="E293" t="str">
        <x:v>SUPER</x:v>
      </x:c>
      <x:c r="F293" t="str"/>
      <x:c r="G293" s="12" t="n">
        <x:v>15</x:v>
      </x:c>
      <x:c r="H293" s="12" t="n">
        <x:v>15</x:v>
      </x:c>
      <x:c r="I293" s="12" t="n">
        <x:v>0</x:v>
      </x:c>
      <x:c r="J293" s="16" t="n">
        <x:v>0</x:v>
      </x:c>
      <x:c r="K293" s="14" t="n">
        <x:v>0</x:v>
      </x:c>
      <x:c r="L293" s="14" t="n">
        <x:v>1</x:v>
      </x:c>
      <x:c r="M293" t="str">
        <x:v>OUT OF STOCK</x:v>
      </x:c>
      <x:c r="N293" t="str">
        <x:v>AKTIF</x:v>
      </x:c>
      <x:c r="O293" t="str"/>
      <x:c r="P293" t="str"/>
      <x:c r="Q293" t="str"/>
      <x:c r="R293" t="str"/>
      <x:c r="S293" t="str"/>
      <x:c r="T293" t="str"/>
      <x:c r="U293" s="18" t="n">
        <x:v>46134.041666666664</x:v>
      </x:c>
      <x:c r="V293" t="str">
        <x:v>INITIAL_IMPORT</x:v>
      </x:c>
    </x:row>
    <x:row r="294">
      <x:c r="A294" t="str">
        <x:v>PRD-JVS-0293</x:v>
      </x:c>
      <x:c r="B294" t="str">
        <x:v>JVS-0293</x:v>
      </x:c>
      <x:c r="C294" t="str">
        <x:v>Karet Pelindung Kabel Body Danmotor</x:v>
      </x:c>
      <x:c r="D294" t="str">
        <x:v>Body</x:v>
      </x:c>
      <x:c r="E294" t="str"/>
      <x:c r="F294" t="str"/>
      <x:c r="G294" s="12" t="n">
        <x:v>5</x:v>
      </x:c>
      <x:c r="H294" s="12" t="n">
        <x:v>5</x:v>
      </x:c>
      <x:c r="I294" s="12" t="n">
        <x:v>0</x:v>
      </x:c>
      <x:c r="J294" s="16" t="n">
        <x:v>0</x:v>
      </x:c>
      <x:c r="K294" s="14" t="n">
        <x:v>5</x:v>
      </x:c>
      <x:c r="L294" s="14" t="n">
        <x:v>1</x:v>
      </x:c>
      <x:c r="M294" t="str">
        <x:v>READY</x:v>
      </x:c>
      <x:c r="N294" t="str">
        <x:v>AKTIF</x:v>
      </x:c>
      <x:c r="O294" t="str"/>
      <x:c r="P294" t="str"/>
      <x:c r="Q294" t="str"/>
      <x:c r="R294" t="str"/>
      <x:c r="S294" t="str"/>
      <x:c r="T294" t="str"/>
      <x:c r="U294" s="18" t="n">
        <x:v>46134.041666666664</x:v>
      </x:c>
      <x:c r="V294" t="str">
        <x:v>INITIAL_IMPORT</x:v>
      </x:c>
    </x:row>
    <x:row r="295">
      <x:c r="A295" t="str">
        <x:v>PRD-JVS-0294</x:v>
      </x:c>
      <x:c r="B295" t="str">
        <x:v>JVS-0294</x:v>
      </x:c>
      <x:c r="C295" t="str">
        <x:v>Karet Pelindung Kabel Body Super Sprint</x:v>
      </x:c>
      <x:c r="D295" t="str">
        <x:v>Body</x:v>
      </x:c>
      <x:c r="E295" t="str">
        <x:v>SUPER, SPRINT</x:v>
      </x:c>
      <x:c r="F295" t="str"/>
      <x:c r="G295" s="12" t="n">
        <x:v>7.5</x:v>
      </x:c>
      <x:c r="H295" s="12" t="n">
        <x:v>7.5</x:v>
      </x:c>
      <x:c r="I295" s="12" t="n">
        <x:v>0</x:v>
      </x:c>
      <x:c r="J295" s="16" t="n">
        <x:v>0</x:v>
      </x:c>
      <x:c r="K295" s="14" t="n">
        <x:v>5</x:v>
      </x:c>
      <x:c r="L295" s="14" t="n">
        <x:v>1</x:v>
      </x:c>
      <x:c r="M295" t="str">
        <x:v>READY</x:v>
      </x:c>
      <x:c r="N295" t="str">
        <x:v>AKTIF</x:v>
      </x:c>
      <x:c r="O295" t="str"/>
      <x:c r="P295" t="str"/>
      <x:c r="Q295" t="str"/>
      <x:c r="R295" t="str"/>
      <x:c r="S295" t="str"/>
      <x:c r="T295" t="str"/>
      <x:c r="U295" s="18" t="n">
        <x:v>46134.041666666664</x:v>
      </x:c>
      <x:c r="V295" t="str">
        <x:v>INITIAL_IMPORT</x:v>
      </x:c>
    </x:row>
    <x:row r="296">
      <x:c r="A296" t="str">
        <x:v>PRD-JVS-0295</x:v>
      </x:c>
      <x:c r="B296" t="str">
        <x:v>JVS-0295</x:v>
      </x:c>
      <x:c r="C296" t="str">
        <x:v>Karet Pelindung Kabel Perseneling ke Body Merk Danmotor</x:v>
      </x:c>
      <x:c r="D296" t="str">
        <x:v>Body</x:v>
      </x:c>
      <x:c r="E296" t="str"/>
      <x:c r="F296" t="str"/>
      <x:c r="G296" s="12" t="str"/>
      <x:c r="H296" s="12" t="str"/>
      <x:c r="I296" s="12" t="str"/>
      <x:c r="J296" s="16" t="str"/>
      <x:c r="K296" s="14" t="n">
        <x:v>16</x:v>
      </x:c>
      <x:c r="L296" s="14" t="n">
        <x:v>1</x:v>
      </x:c>
      <x:c r="M296" t="str">
        <x:v>READY</x:v>
      </x:c>
      <x:c r="N296" t="str">
        <x:v>AKTIF</x:v>
      </x:c>
      <x:c r="O296" t="str"/>
      <x:c r="P296" t="str"/>
      <x:c r="Q296" t="str"/>
      <x:c r="R296" t="str"/>
      <x:c r="S296" t="str"/>
      <x:c r="T296" t="str"/>
      <x:c r="U296" s="18" t="n">
        <x:v>46134.041666666664</x:v>
      </x:c>
      <x:c r="V296" t="str">
        <x:v>INITIAL_IMPORT</x:v>
      </x:c>
    </x:row>
    <x:row r="297">
      <x:c r="A297" t="str">
        <x:v>PRD-JVS-0296</x:v>
      </x:c>
      <x:c r="B297" t="str">
        <x:v>JVS-0296</x:v>
      </x:c>
      <x:c r="C297" t="str">
        <x:v>Karet Pelindung Selang Bensin ke Body Merk Danmotor</x:v>
      </x:c>
      <x:c r="D297" t="str">
        <x:v>Body</x:v>
      </x:c>
      <x:c r="E297" t="str"/>
      <x:c r="F297" t="str"/>
      <x:c r="G297" s="12" t="n">
        <x:v>12.5</x:v>
      </x:c>
      <x:c r="H297" s="12" t="n">
        <x:v>12.5</x:v>
      </x:c>
      <x:c r="I297" s="12" t="n">
        <x:v>0</x:v>
      </x:c>
      <x:c r="J297" s="16" t="n">
        <x:v>0</x:v>
      </x:c>
      <x:c r="K297" s="14" t="n">
        <x:v>3</x:v>
      </x:c>
      <x:c r="L297" s="14" t="n">
        <x:v>1</x:v>
      </x:c>
      <x:c r="M297" t="str">
        <x:v>READY</x:v>
      </x:c>
      <x:c r="N297" t="str">
        <x:v>AKTIF</x:v>
      </x:c>
      <x:c r="O297" t="str"/>
      <x:c r="P297" t="str"/>
      <x:c r="Q297" t="str"/>
      <x:c r="R297" t="str"/>
      <x:c r="S297" t="str"/>
      <x:c r="T297" t="str"/>
      <x:c r="U297" s="18" t="n">
        <x:v>46134.041666666664</x:v>
      </x:c>
      <x:c r="V297" t="str">
        <x:v>INITIAL_IMPORT</x:v>
      </x:c>
    </x:row>
    <x:row r="298">
      <x:c r="A298" t="str">
        <x:v>PRD-JVS-0297</x:v>
      </x:c>
      <x:c r="B298" t="str">
        <x:v>JVS-0297</x:v>
      </x:c>
      <x:c r="C298" t="str">
        <x:v>Karet Penahan Rem Belakang bagian Pedal Dumper Vespa PX PS Excel</x:v>
      </x:c>
      <x:c r="D298" t="str">
        <x:v>Kaki-Kaki</x:v>
      </x:c>
      <x:c r="E298" t="str">
        <x:v>EXCEL, PX, PS</x:v>
      </x:c>
      <x:c r="F298" t="str"/>
      <x:c r="G298" s="12" t="n">
        <x:v>8.5</x:v>
      </x:c>
      <x:c r="H298" s="12" t="n">
        <x:v>8.5</x:v>
      </x:c>
      <x:c r="I298" s="12" t="n">
        <x:v>0</x:v>
      </x:c>
      <x:c r="J298" s="16" t="n">
        <x:v>0</x:v>
      </x:c>
      <x:c r="K298" s="14" t="n">
        <x:v>11</x:v>
      </x:c>
      <x:c r="L298" s="14" t="n">
        <x:v>1</x:v>
      </x:c>
      <x:c r="M298" t="str">
        <x:v>READY</x:v>
      </x:c>
      <x:c r="N298" t="str">
        <x:v>AKTIF</x:v>
      </x:c>
      <x:c r="O298" t="str"/>
      <x:c r="P298" t="str"/>
      <x:c r="Q298" t="str"/>
      <x:c r="R298" t="str"/>
      <x:c r="S298" t="str"/>
      <x:c r="T298" t="str"/>
      <x:c r="U298" s="18" t="n">
        <x:v>46134.041666666664</x:v>
      </x:c>
      <x:c r="V298" t="str">
        <x:v>INITIAL_IMPORT</x:v>
      </x:c>
    </x:row>
    <x:row r="299">
      <x:c r="A299" t="str">
        <x:v>PRD-JVS-0298</x:v>
      </x:c>
      <x:c r="B299" t="str">
        <x:v>JVS-0298</x:v>
      </x:c>
      <x:c r="C299" t="str">
        <x:v>Karet Penahan Standar Tengah Vespa Semua Import nempel besi</x:v>
      </x:c>
      <x:c r="D299" t="str">
        <x:v>Kaki-Kaki</x:v>
      </x:c>
      <x:c r="E299" t="str"/>
      <x:c r="F299" t="str"/>
      <x:c r="G299" s="12" t="str"/>
      <x:c r="H299" s="12" t="str"/>
      <x:c r="I299" s="12" t="str"/>
      <x:c r="J299" s="16" t="str"/>
      <x:c r="K299" s="14" t="n">
        <x:v>2</x:v>
      </x:c>
      <x:c r="L299" s="14" t="n">
        <x:v>1</x:v>
      </x:c>
      <x:c r="M299" t="str">
        <x:v>READY</x:v>
      </x:c>
      <x:c r="N299" t="str">
        <x:v>AKTIF</x:v>
      </x:c>
      <x:c r="O299" t="str"/>
      <x:c r="P299" t="str"/>
      <x:c r="Q299" t="str"/>
      <x:c r="R299" t="str"/>
      <x:c r="S299" t="str"/>
      <x:c r="T299" t="str"/>
      <x:c r="U299" s="18" t="n">
        <x:v>46134.041666666664</x:v>
      </x:c>
      <x:c r="V299" t="str">
        <x:v>INITIAL_IMPORT</x:v>
      </x:c>
    </x:row>
    <x:row r="300">
      <x:c r="A300" t="str">
        <x:v>PRD-JVS-0299</x:v>
      </x:c>
      <x:c r="B300" t="str">
        <x:v>JVS-0299</x:v>
      </x:c>
      <x:c r="C300" t="str">
        <x:v>Karet Pentil Penahan Bagasi Peredam Getaran Danmotor</x:v>
      </x:c>
      <x:c r="D300" t="str">
        <x:v>Servis</x:v>
      </x:c>
      <x:c r="E300" t="str"/>
      <x:c r="F300" t="str"/>
      <x:c r="G300" s="12" t="n">
        <x:v>4</x:v>
      </x:c>
      <x:c r="H300" s="12" t="n">
        <x:v>4</x:v>
      </x:c>
      <x:c r="I300" s="12" t="n">
        <x:v>0</x:v>
      </x:c>
      <x:c r="J300" s="16" t="n">
        <x:v>0</x:v>
      </x:c>
      <x:c r="K300" s="14" t="n">
        <x:v>6</x:v>
      </x:c>
      <x:c r="L300" s="14" t="n">
        <x:v>1</x:v>
      </x:c>
      <x:c r="M300" t="str">
        <x:v>READY</x:v>
      </x:c>
      <x:c r="N300" t="str">
        <x:v>AKTIF</x:v>
      </x:c>
      <x:c r="O300" t="str"/>
      <x:c r="P300" t="str"/>
      <x:c r="Q300" t="str"/>
      <x:c r="R300" t="str"/>
      <x:c r="S300" t="str"/>
      <x:c r="T300" t="str"/>
      <x:c r="U300" s="18" t="n">
        <x:v>46134.041666666664</x:v>
      </x:c>
      <x:c r="V300" t="str">
        <x:v>INITIAL_IMPORT</x:v>
      </x:c>
    </x:row>
    <x:row r="301">
      <x:c r="A301" t="str">
        <x:v>PRD-JVS-0300</x:v>
      </x:c>
      <x:c r="B301" t="str">
        <x:v>JVS-0300</x:v>
      </x:c>
      <x:c r="C301" t="str">
        <x:v>Karet Sabuk Tali Aki Vespa Excel Spartan Panjang Danmotor</x:v>
      </x:c>
      <x:c r="D301" t="str">
        <x:v>Servis</x:v>
      </x:c>
      <x:c r="E301" t="str">
        <x:v>EXCEL, SPARTAN</x:v>
      </x:c>
      <x:c r="F301" t="str"/>
      <x:c r="G301" s="12" t="n">
        <x:v>28</x:v>
      </x:c>
      <x:c r="H301" s="12" t="n">
        <x:v>28</x:v>
      </x:c>
      <x:c r="I301" s="12" t="n">
        <x:v>0</x:v>
      </x:c>
      <x:c r="J301" s="16" t="n">
        <x:v>0</x:v>
      </x:c>
      <x:c r="K301" s="14" t="n">
        <x:v>1</x:v>
      </x:c>
      <x:c r="L301" s="14" t="n">
        <x:v>1</x:v>
      </x:c>
      <x:c r="M301" t="str">
        <x:v>LOW</x:v>
      </x:c>
      <x:c r="N301" t="str">
        <x:v>AKTIF</x:v>
      </x:c>
      <x:c r="O301" t="str"/>
      <x:c r="P301" t="str"/>
      <x:c r="Q301" t="str"/>
      <x:c r="R301" t="str"/>
      <x:c r="S301" t="str"/>
      <x:c r="T301" t="str"/>
      <x:c r="U301" s="18" t="n">
        <x:v>46134.041666666664</x:v>
      </x:c>
      <x:c r="V301" t="str">
        <x:v>INITIAL_IMPORT</x:v>
      </x:c>
    </x:row>
    <x:row r="302">
      <x:c r="A302" t="str">
        <x:v>PRD-JVS-0301</x:v>
      </x:c>
      <x:c r="B302" t="str">
        <x:v>JVS-0301</x:v>
      </x:c>
      <x:c r="C302" t="str">
        <x:v>Karet Sabuk Tali Aki Vespa PX Exclusive Pendek Danmotor</x:v>
      </x:c>
      <x:c r="D302" t="str">
        <x:v>Servis</x:v>
      </x:c>
      <x:c r="E302" t="str">
        <x:v>EXCLUSIVE, PX</x:v>
      </x:c>
      <x:c r="F302" t="str"/>
      <x:c r="G302" s="12" t="n">
        <x:v>25</x:v>
      </x:c>
      <x:c r="H302" s="12" t="n">
        <x:v>25</x:v>
      </x:c>
      <x:c r="I302" s="12" t="n">
        <x:v>0</x:v>
      </x:c>
      <x:c r="J302" s="16" t="n">
        <x:v>0</x:v>
      </x:c>
      <x:c r="K302" s="14" t="n">
        <x:v>2</x:v>
      </x:c>
      <x:c r="L302" s="14" t="n">
        <x:v>1</x:v>
      </x:c>
      <x:c r="M302" t="str">
        <x:v>READY</x:v>
      </x:c>
      <x:c r="N302" t="str">
        <x:v>AKTIF</x:v>
      </x:c>
      <x:c r="O302" t="str"/>
      <x:c r="P302" t="str"/>
      <x:c r="Q302" t="str"/>
      <x:c r="R302" t="str"/>
      <x:c r="S302" t="str"/>
      <x:c r="T302" t="str"/>
      <x:c r="U302" s="18" t="n">
        <x:v>46134.041666666664</x:v>
      </x:c>
      <x:c r="V302" t="str">
        <x:v>INITIAL_IMPORT</x:v>
      </x:c>
    </x:row>
    <x:row r="303">
      <x:c r="A303" t="str">
        <x:v>PRD-JVS-0302</x:v>
      </x:c>
      <x:c r="B303" t="str">
        <x:v>JVS-0302</x:v>
      </x:c>
      <x:c r="C303" t="str">
        <x:v>Karet Sasis As Mesin Vespa Largeframe Teflon/ Kuning</x:v>
      </x:c>
      <x:c r="D303" t="str">
        <x:v>Servis</x:v>
      </x:c>
      <x:c r="E303" t="str"/>
      <x:c r="F303" t="str"/>
      <x:c r="G303" s="12" t="n">
        <x:v>25</x:v>
      </x:c>
      <x:c r="H303" s="12" t="n">
        <x:v>25</x:v>
      </x:c>
      <x:c r="I303" s="12" t="n">
        <x:v>0</x:v>
      </x:c>
      <x:c r="J303" s="16" t="n">
        <x:v>0</x:v>
      </x:c>
      <x:c r="K303" s="14" t="n">
        <x:v>5</x:v>
      </x:c>
      <x:c r="L303" s="14" t="n">
        <x:v>1</x:v>
      </x:c>
      <x:c r="M303" t="str">
        <x:v>READY</x:v>
      </x:c>
      <x:c r="N303" t="str">
        <x:v>AKTIF</x:v>
      </x:c>
      <x:c r="O303" t="str"/>
      <x:c r="P303" t="str"/>
      <x:c r="Q303" t="str"/>
      <x:c r="R303" t="str"/>
      <x:c r="S303" t="str"/>
      <x:c r="T303" t="str"/>
      <x:c r="U303" s="18" t="n">
        <x:v>46134.041666666664</x:v>
      </x:c>
      <x:c r="V303" t="str">
        <x:v>INITIAL_IMPORT</x:v>
      </x:c>
    </x:row>
    <x:row r="304">
      <x:c r="A304" t="str">
        <x:v>PRD-JVS-0303</x:v>
      </x:c>
      <x:c r="B304" t="str">
        <x:v>JVS-0303</x:v>
      </x:c>
      <x:c r="C304" t="str">
        <x:v>Karet Sasis Largeframe Danmotor</x:v>
      </x:c>
      <x:c r="D304" t="str">
        <x:v>Servis</x:v>
      </x:c>
      <x:c r="E304" t="str"/>
      <x:c r="F304" t="str"/>
      <x:c r="G304" s="12" t="n">
        <x:v>30</x:v>
      </x:c>
      <x:c r="H304" s="12" t="n">
        <x:v>30</x:v>
      </x:c>
      <x:c r="I304" s="12" t="n">
        <x:v>0</x:v>
      </x:c>
      <x:c r="J304" s="16" t="n">
        <x:v>0</x:v>
      </x:c>
      <x:c r="K304" s="14" t="n">
        <x:v>1</x:v>
      </x:c>
      <x:c r="L304" s="14" t="n">
        <x:v>1</x:v>
      </x:c>
      <x:c r="M304" t="str">
        <x:v>LOW</x:v>
      </x:c>
      <x:c r="N304" t="str">
        <x:v>AKTIF</x:v>
      </x:c>
      <x:c r="O304" t="str"/>
      <x:c r="P304" t="str"/>
      <x:c r="Q304" t="str"/>
      <x:c r="R304" t="str"/>
      <x:c r="S304" t="str"/>
      <x:c r="T304" t="str"/>
      <x:c r="U304" s="18" t="n">
        <x:v>46134.041666666664</x:v>
      </x:c>
      <x:c r="V304" t="str">
        <x:v>INITIAL_IMPORT</x:v>
      </x:c>
    </x:row>
    <x:row r="305">
      <x:c r="A305" t="str">
        <x:v>PRD-JVS-0304</x:v>
      </x:c>
      <x:c r="B305" t="str">
        <x:v>JVS-0304</x:v>
      </x:c>
      <x:c r="C305" t="str">
        <x:v>Karet Sasis Mesin Biasa Hitam Import</x:v>
      </x:c>
      <x:c r="D305" t="str">
        <x:v>Servis</x:v>
      </x:c>
      <x:c r="E305" t="str"/>
      <x:c r="F305" t="str"/>
      <x:c r="G305" s="12" t="n">
        <x:v>18</x:v>
      </x:c>
      <x:c r="H305" s="12" t="n">
        <x:v>18</x:v>
      </x:c>
      <x:c r="I305" s="12" t="n">
        <x:v>0</x:v>
      </x:c>
      <x:c r="J305" s="16" t="n">
        <x:v>0</x:v>
      </x:c>
      <x:c r="K305" s="14" t="n">
        <x:v>1</x:v>
      </x:c>
      <x:c r="L305" s="14" t="n">
        <x:v>1</x:v>
      </x:c>
      <x:c r="M305" t="str">
        <x:v>LOW</x:v>
      </x:c>
      <x:c r="N305" t="str">
        <x:v>AKTIF</x:v>
      </x:c>
      <x:c r="O305" t="str"/>
      <x:c r="P305" t="str"/>
      <x:c r="Q305" t="str"/>
      <x:c r="R305" t="str"/>
      <x:c r="S305" t="str"/>
      <x:c r="T305" t="str"/>
      <x:c r="U305" s="18" t="n">
        <x:v>46134.041666666664</x:v>
      </x:c>
      <x:c r="V305" t="str">
        <x:v>INITIAL_IMPORT</x:v>
      </x:c>
    </x:row>
    <x:row r="306">
      <x:c r="A306" t="str">
        <x:v>PRD-JVS-0305</x:v>
      </x:c>
      <x:c r="B306" t="str">
        <x:v>JVS-0305</x:v>
      </x:c>
      <x:c r="C306" t="str">
        <x:v>Karet Sasis TC SCOOTER Largeframe</x:v>
      </x:c>
      <x:c r="D306" t="str">
        <x:v>Servis</x:v>
      </x:c>
      <x:c r="E306" t="str"/>
      <x:c r="F306" t="str"/>
      <x:c r="G306" s="12" t="n">
        <x:v>155</x:v>
      </x:c>
      <x:c r="H306" s="12" t="n">
        <x:v>155</x:v>
      </x:c>
      <x:c r="I306" s="12" t="n">
        <x:v>0</x:v>
      </x:c>
      <x:c r="J306" s="16" t="n">
        <x:v>0</x:v>
      </x:c>
      <x:c r="K306" s="14" t="n">
        <x:v>1</x:v>
      </x:c>
      <x:c r="L306" s="14" t="n">
        <x:v>1</x:v>
      </x:c>
      <x:c r="M306" t="str">
        <x:v>LOW</x:v>
      </x:c>
      <x:c r="N306" t="str">
        <x:v>AKTIF</x:v>
      </x:c>
      <x:c r="O306" t="str"/>
      <x:c r="P306" t="str"/>
      <x:c r="Q306" t="str"/>
      <x:c r="R306" t="str"/>
      <x:c r="S306" t="str"/>
      <x:c r="T306" t="str"/>
      <x:c r="U306" s="18" t="n">
        <x:v>46134.041666666664</x:v>
      </x:c>
      <x:c r="V306" t="str">
        <x:v>INITIAL_IMPORT</x:v>
      </x:c>
    </x:row>
    <x:row r="307">
      <x:c r="A307" t="str">
        <x:v>PRD-JVS-0306</x:v>
      </x:c>
      <x:c r="B307" t="str">
        <x:v>JVS-0306</x:v>
      </x:c>
      <x:c r="C307" t="str">
        <x:v>Karet Selah Vespa PX Merk Danmotor</x:v>
      </x:c>
      <x:c r="D307" t="str">
        <x:v>Mesin</x:v>
      </x:c>
      <x:c r="E307" t="str">
        <x:v>PX</x:v>
      </x:c>
      <x:c r="F307" t="str"/>
      <x:c r="G307" s="12" t="n">
        <x:v>13</x:v>
      </x:c>
      <x:c r="H307" s="12" t="n">
        <x:v>13</x:v>
      </x:c>
      <x:c r="I307" s="12" t="n">
        <x:v>0</x:v>
      </x:c>
      <x:c r="J307" s="16" t="n">
        <x:v>0</x:v>
      </x:c>
      <x:c r="K307" s="14" t="n">
        <x:v>6</x:v>
      </x:c>
      <x:c r="L307" s="14" t="n">
        <x:v>1</x:v>
      </x:c>
      <x:c r="M307" t="str">
        <x:v>READY</x:v>
      </x:c>
      <x:c r="N307" t="str">
        <x:v>AKTIF</x:v>
      </x:c>
      <x:c r="O307" t="str"/>
      <x:c r="P307" t="str"/>
      <x:c r="Q307" t="str"/>
      <x:c r="R307" t="str"/>
      <x:c r="S307" t="str"/>
      <x:c r="T307" t="str"/>
      <x:c r="U307" s="18" t="n">
        <x:v>46134.041666666664</x:v>
      </x:c>
      <x:c r="V307" t="str">
        <x:v>INITIAL_IMPORT</x:v>
      </x:c>
    </x:row>
    <x:row r="308">
      <x:c r="A308" t="str">
        <x:v>PRD-JVS-0307</x:v>
      </x:c>
      <x:c r="B308" t="str">
        <x:v>JVS-0307</x:v>
      </x:c>
      <x:c r="C308" t="str">
        <x:v>Karet Selah Vespa Super Sprint Metalplast</x:v>
      </x:c>
      <x:c r="D308" t="str">
        <x:v>Mesin</x:v>
      </x:c>
      <x:c r="E308" t="str">
        <x:v>SUPER, SPRINT</x:v>
      </x:c>
      <x:c r="F308" t="str"/>
      <x:c r="G308" s="12" t="n">
        <x:v>20</x:v>
      </x:c>
      <x:c r="H308" s="12" t="n">
        <x:v>20</x:v>
      </x:c>
      <x:c r="I308" s="12" t="n">
        <x:v>0</x:v>
      </x:c>
      <x:c r="J308" s="16" t="n">
        <x:v>0</x:v>
      </x:c>
      <x:c r="K308" s="14" t="n">
        <x:v>5</x:v>
      </x:c>
      <x:c r="L308" s="14" t="n">
        <x:v>1</x:v>
      </x:c>
      <x:c r="M308" t="str">
        <x:v>READY</x:v>
      </x:c>
      <x:c r="N308" t="str">
        <x:v>AKTIF</x:v>
      </x:c>
      <x:c r="O308" t="str"/>
      <x:c r="P308" t="str"/>
      <x:c r="Q308" t="str"/>
      <x:c r="R308" t="str"/>
      <x:c r="S308" t="str"/>
      <x:c r="T308" t="str"/>
      <x:c r="U308" s="18" t="n">
        <x:v>46134.041666666664</x:v>
      </x:c>
      <x:c r="V308" t="str">
        <x:v>INITIAL_IMPORT</x:v>
      </x:c>
    </x:row>
    <x:row r="309">
      <x:c r="A309" t="str">
        <x:v>PRD-JVS-0308</x:v>
      </x:c>
      <x:c r="B309" t="str">
        <x:v>JVS-0308</x:v>
      </x:c>
      <x:c r="C309" t="str">
        <x:v>Karet Shock Belakang Bagian Atas Bantalan Tahu Vespa</x:v>
      </x:c>
      <x:c r="D309" t="str">
        <x:v>Kaki-Kaki</x:v>
      </x:c>
      <x:c r="E309" t="str"/>
      <x:c r="F309" t="str"/>
      <x:c r="G309" s="12" t="n">
        <x:v>25</x:v>
      </x:c>
      <x:c r="H309" s="12" t="n">
        <x:v>25</x:v>
      </x:c>
      <x:c r="I309" s="12" t="n">
        <x:v>0</x:v>
      </x:c>
      <x:c r="J309" s="16" t="n">
        <x:v>0</x:v>
      </x:c>
      <x:c r="K309" s="14" t="n">
        <x:v>4</x:v>
      </x:c>
      <x:c r="L309" s="14" t="n">
        <x:v>1</x:v>
      </x:c>
      <x:c r="M309" t="str">
        <x:v>READY</x:v>
      </x:c>
      <x:c r="N309" t="str">
        <x:v>AKTIF</x:v>
      </x:c>
      <x:c r="O309" t="str"/>
      <x:c r="P309" t="str"/>
      <x:c r="Q309" t="str"/>
      <x:c r="R309" t="str"/>
      <x:c r="S309" t="str"/>
      <x:c r="T309" t="str"/>
      <x:c r="U309" s="18" t="n">
        <x:v>46134.041666666664</x:v>
      </x:c>
      <x:c r="V309" t="str">
        <x:v>INITIAL_IMPORT</x:v>
      </x:c>
    </x:row>
    <x:row r="310">
      <x:c r="A310" t="str">
        <x:v>PRD-JVS-0309</x:v>
      </x:c>
      <x:c r="B310" t="str">
        <x:v>JVS-0309</x:v>
      </x:c>
      <x:c r="C310" t="str">
        <x:v>Karet Shock Belakang Bawah TBS Import</x:v>
      </x:c>
      <x:c r="D310" t="str">
        <x:v>Kaki-Kaki</x:v>
      </x:c>
      <x:c r="E310" t="str"/>
      <x:c r="F310" t="str"/>
      <x:c r="G310" s="12" t="n">
        <x:v>8</x:v>
      </x:c>
      <x:c r="H310" s="12" t="n">
        <x:v>8</x:v>
      </x:c>
      <x:c r="I310" s="12" t="n">
        <x:v>0</x:v>
      </x:c>
      <x:c r="J310" s="16" t="n">
        <x:v>0</x:v>
      </x:c>
      <x:c r="K310" s="14" t="n">
        <x:v>4</x:v>
      </x:c>
      <x:c r="L310" s="14" t="n">
        <x:v>1</x:v>
      </x:c>
      <x:c r="M310" t="str">
        <x:v>READY</x:v>
      </x:c>
      <x:c r="N310" t="str">
        <x:v>AKTIF</x:v>
      </x:c>
      <x:c r="O310" t="str"/>
      <x:c r="P310" t="str"/>
      <x:c r="Q310" t="str"/>
      <x:c r="R310" t="str"/>
      <x:c r="S310" t="str"/>
      <x:c r="T310" t="str"/>
      <x:c r="U310" s="18" t="n">
        <x:v>46134.041666666664</x:v>
      </x:c>
      <x:c r="V310" t="str">
        <x:v>INITIAL_IMPORT</x:v>
      </x:c>
    </x:row>
    <x:row r="311">
      <x:c r="A311" t="str">
        <x:v>PRD-JVS-0310</x:v>
      </x:c>
      <x:c r="B311" t="str">
        <x:v>JVS-0310</x:v>
      </x:c>
      <x:c r="C311" t="str">
        <x:v>Karet Shock Belakang Bawah Teflon</x:v>
      </x:c>
      <x:c r="D311" t="str">
        <x:v>Kaki-Kaki</x:v>
      </x:c>
      <x:c r="E311" t="str"/>
      <x:c r="F311" t="str"/>
      <x:c r="G311" s="12" t="n">
        <x:v>15</x:v>
      </x:c>
      <x:c r="H311" s="12" t="n">
        <x:v>15</x:v>
      </x:c>
      <x:c r="I311" s="12" t="n">
        <x:v>0</x:v>
      </x:c>
      <x:c r="J311" s="16" t="n">
        <x:v>0</x:v>
      </x:c>
      <x:c r="K311" s="14" t="n">
        <x:v>11</x:v>
      </x:c>
      <x:c r="L311" s="14" t="n">
        <x:v>1</x:v>
      </x:c>
      <x:c r="M311" t="str">
        <x:v>READY</x:v>
      </x:c>
      <x:c r="N311" t="str">
        <x:v>AKTIF</x:v>
      </x:c>
      <x:c r="O311" t="str"/>
      <x:c r="P311" t="str"/>
      <x:c r="Q311" t="str"/>
      <x:c r="R311" t="str"/>
      <x:c r="S311" t="str"/>
      <x:c r="T311" t="str"/>
      <x:c r="U311" s="18" t="n">
        <x:v>46134.041666666664</x:v>
      </x:c>
      <x:c r="V311" t="str">
        <x:v>INITIAL_IMPORT</x:v>
      </x:c>
    </x:row>
    <x:row r="312">
      <x:c r="A312" t="str">
        <x:v>PRD-JVS-0311</x:v>
      </x:c>
      <x:c r="B312" t="str">
        <x:v>JVS-0311</x:v>
      </x:c>
      <x:c r="C312" t="str">
        <x:v>Karet Shock Depan Atas Vespa Super Import</x:v>
      </x:c>
      <x:c r="D312" t="str">
        <x:v>Kaki-Kaki</x:v>
      </x:c>
      <x:c r="E312" t="str">
        <x:v>SUPER</x:v>
      </x:c>
      <x:c r="F312" t="str"/>
      <x:c r="G312" s="12" t="n">
        <x:v>7</x:v>
      </x:c>
      <x:c r="H312" s="12" t="n">
        <x:v>7</x:v>
      </x:c>
      <x:c r="I312" s="12" t="n">
        <x:v>0</x:v>
      </x:c>
      <x:c r="J312" s="16" t="n">
        <x:v>0</x:v>
      </x:c>
      <x:c r="K312" s="14" t="n">
        <x:v>8</x:v>
      </x:c>
      <x:c r="L312" s="14" t="n">
        <x:v>1</x:v>
      </x:c>
      <x:c r="M312" t="str">
        <x:v>READY</x:v>
      </x:c>
      <x:c r="N312" t="str">
        <x:v>AKTIF</x:v>
      </x:c>
      <x:c r="O312" t="str"/>
      <x:c r="P312" t="str"/>
      <x:c r="Q312" t="str"/>
      <x:c r="R312" t="str"/>
      <x:c r="S312" t="str"/>
      <x:c r="T312" t="str"/>
      <x:c r="U312" s="18" t="n">
        <x:v>46134.041666666664</x:v>
      </x:c>
      <x:c r="V312" t="str">
        <x:v>INITIAL_IMPORT</x:v>
      </x:c>
    </x:row>
    <x:row r="313">
      <x:c r="A313" t="str">
        <x:v>PRD-JVS-0312</x:v>
      </x:c>
      <x:c r="B313" t="str">
        <x:v>JVS-0312</x:v>
      </x:c>
      <x:c r="C313" t="str">
        <x:v>Karet Shock Depan Bawah Vespa Super, Sprint,PS Import dengan bos besi</x:v>
      </x:c>
      <x:c r="D313" t="str">
        <x:v>Kaki-Kaki</x:v>
      </x:c>
      <x:c r="E313" t="str">
        <x:v>SUPER, SPRINT, PS</x:v>
      </x:c>
      <x:c r="F313" t="str"/>
      <x:c r="G313" s="12" t="n">
        <x:v>15</x:v>
      </x:c>
      <x:c r="H313" s="12" t="n">
        <x:v>15</x:v>
      </x:c>
      <x:c r="I313" s="12" t="n">
        <x:v>0</x:v>
      </x:c>
      <x:c r="J313" s="16" t="n">
        <x:v>0</x:v>
      </x:c>
      <x:c r="K313" s="14" t="n">
        <x:v>6</x:v>
      </x:c>
      <x:c r="L313" s="14" t="n">
        <x:v>1</x:v>
      </x:c>
      <x:c r="M313" t="str">
        <x:v>READY</x:v>
      </x:c>
      <x:c r="N313" t="str">
        <x:v>AKTIF</x:v>
      </x:c>
      <x:c r="O313" t="str"/>
      <x:c r="P313" t="str"/>
      <x:c r="Q313" t="str"/>
      <x:c r="R313" t="str"/>
      <x:c r="S313" t="str"/>
      <x:c r="T313" t="str"/>
      <x:c r="U313" s="18" t="n">
        <x:v>46134.041666666664</x:v>
      </x:c>
      <x:c r="V313" t="str">
        <x:v>INITIAL_IMPORT</x:v>
      </x:c>
    </x:row>
    <x:row r="314">
      <x:c r="A314" t="str">
        <x:v>PRD-JVS-0313</x:v>
      </x:c>
      <x:c r="B314" t="str">
        <x:v>JVS-0313</x:v>
      </x:c>
      <x:c r="C314" t="str">
        <x:v>Karet Shock Donat Depan Vespa PXE, Exceel Merk Danmotor</x:v>
      </x:c>
      <x:c r="D314" t="str">
        <x:v>Kaki-Kaki</x:v>
      </x:c>
      <x:c r="E314" t="str">
        <x:v>PXE, PX</x:v>
      </x:c>
      <x:c r="F314" t="str"/>
      <x:c r="G314" s="12" t="n">
        <x:v>12.5</x:v>
      </x:c>
      <x:c r="H314" s="12" t="n">
        <x:v>12.5</x:v>
      </x:c>
      <x:c r="I314" s="12" t="n">
        <x:v>0</x:v>
      </x:c>
      <x:c r="J314" s="16" t="n">
        <x:v>0</x:v>
      </x:c>
      <x:c r="K314" s="14" t="n">
        <x:v>3</x:v>
      </x:c>
      <x:c r="L314" s="14" t="n">
        <x:v>1</x:v>
      </x:c>
      <x:c r="M314" t="str">
        <x:v>READY</x:v>
      </x:c>
      <x:c r="N314" t="str">
        <x:v>AKTIF</x:v>
      </x:c>
      <x:c r="O314" t="str"/>
      <x:c r="P314" t="str"/>
      <x:c r="Q314" t="str"/>
      <x:c r="R314" t="str"/>
      <x:c r="S314" t="str"/>
      <x:c r="T314" t="str"/>
      <x:c r="U314" s="18" t="n">
        <x:v>46134.041666666664</x:v>
      </x:c>
      <x:c r="V314" t="str">
        <x:v>INITIAL_IMPORT</x:v>
      </x:c>
    </x:row>
    <x:row r="315">
      <x:c r="A315" t="str">
        <x:v>PRD-JVS-0314</x:v>
      </x:c>
      <x:c r="B315" t="str">
        <x:v>JVS-0314</x:v>
      </x:c>
      <x:c r="C315" t="str">
        <x:v>Karet Shock Komplit Mur Ring Atas Bawah Komplit Shock Depan Vespa PXE PX EXCEL</x:v>
      </x:c>
      <x:c r="D315" t="str">
        <x:v>Kaki-Kaki</x:v>
      </x:c>
      <x:c r="E315" t="str">
        <x:v>EXCEL, PXE, PX</x:v>
      </x:c>
      <x:c r="F315" t="str"/>
      <x:c r="G315" s="12" t="n">
        <x:v>90</x:v>
      </x:c>
      <x:c r="H315" s="12" t="n">
        <x:v>90</x:v>
      </x:c>
      <x:c r="I315" s="12" t="n">
        <x:v>0</x:v>
      </x:c>
      <x:c r="J315" s="16" t="n">
        <x:v>0</x:v>
      </x:c>
      <x:c r="K315" s="14" t="n">
        <x:v>4</x:v>
      </x:c>
      <x:c r="L315" s="14" t="n">
        <x:v>1</x:v>
      </x:c>
      <x:c r="M315" t="str">
        <x:v>READY</x:v>
      </x:c>
      <x:c r="N315" t="str">
        <x:v>AKTIF</x:v>
      </x:c>
      <x:c r="O315" t="str"/>
      <x:c r="P315" t="str"/>
      <x:c r="Q315" t="str"/>
      <x:c r="R315" t="str"/>
      <x:c r="S315" t="str"/>
      <x:c r="T315" t="str"/>
      <x:c r="U315" s="18" t="n">
        <x:v>46134.041666666664</x:v>
      </x:c>
      <x:c r="V315" t="str">
        <x:v>INITIAL_IMPORT</x:v>
      </x:c>
    </x:row>
    <x:row r="316">
      <x:c r="A316" t="str">
        <x:v>PRD-JVS-0315</x:v>
      </x:c>
      <x:c r="B316" t="str">
        <x:v>JVS-0315</x:v>
      </x:c>
      <x:c r="C316" t="str">
        <x:v>Karet Stoplamp Vespa PX tatakan mika stop</x:v>
      </x:c>
      <x:c r="D316" t="str">
        <x:v>Body</x:v>
      </x:c>
      <x:c r="E316" t="str">
        <x:v>PX</x:v>
      </x:c>
      <x:c r="F316" t="str"/>
      <x:c r="G316" s="12" t="n">
        <x:v>18</x:v>
      </x:c>
      <x:c r="H316" s="12" t="n">
        <x:v>18</x:v>
      </x:c>
      <x:c r="I316" s="12" t="n">
        <x:v>0</x:v>
      </x:c>
      <x:c r="J316" s="16" t="n">
        <x:v>0</x:v>
      </x:c>
      <x:c r="K316" s="14" t="n">
        <x:v>4</x:v>
      </x:c>
      <x:c r="L316" s="14" t="n">
        <x:v>1</x:v>
      </x:c>
      <x:c r="M316" t="str">
        <x:v>READY</x:v>
      </x:c>
      <x:c r="N316" t="str">
        <x:v>AKTIF</x:v>
      </x:c>
      <x:c r="O316" t="str"/>
      <x:c r="P316" t="str"/>
      <x:c r="Q316" t="str"/>
      <x:c r="R316" t="str"/>
      <x:c r="S316" t="str"/>
      <x:c r="T316" t="str"/>
      <x:c r="U316" s="18" t="n">
        <x:v>46134.041666666664</x:v>
      </x:c>
      <x:c r="V316" t="str">
        <x:v>INITIAL_IMPORT</x:v>
      </x:c>
    </x:row>
    <x:row r="317">
      <x:c r="A317" t="str">
        <x:v>PRD-JVS-0316</x:v>
      </x:c>
      <x:c r="B317" t="str">
        <x:v>JVS-0316</x:v>
      </x:c>
      <x:c r="C317" t="str">
        <x:v>Karet Stoplamp Vespa Super Sprint muda</x:v>
      </x:c>
      <x:c r="D317" t="str">
        <x:v>Body</x:v>
      </x:c>
      <x:c r="E317" t="str">
        <x:v>SUPER, SPRINT</x:v>
      </x:c>
      <x:c r="F317" t="str"/>
      <x:c r="G317" s="12" t="str"/>
      <x:c r="H317" s="12" t="str"/>
      <x:c r="I317" s="12" t="str"/>
      <x:c r="J317" s="16" t="str"/>
      <x:c r="K317" s="14" t="n">
        <x:v>4</x:v>
      </x:c>
      <x:c r="L317" s="14" t="n">
        <x:v>1</x:v>
      </x:c>
      <x:c r="M317" t="str">
        <x:v>READY</x:v>
      </x:c>
      <x:c r="N317" t="str">
        <x:v>AKTIF</x:v>
      </x:c>
      <x:c r="O317" t="str"/>
      <x:c r="P317" t="str"/>
      <x:c r="Q317" t="str"/>
      <x:c r="R317" t="str"/>
      <x:c r="S317" t="str"/>
      <x:c r="T317" t="str"/>
      <x:c r="U317" s="18" t="n">
        <x:v>46134.041666666664</x:v>
      </x:c>
      <x:c r="V317" t="str">
        <x:v>INITIAL_IMPORT</x:v>
      </x:c>
    </x:row>
    <x:row r="318">
      <x:c r="A318" t="str">
        <x:v>PRD-JVS-0317</x:v>
      </x:c>
      <x:c r="B318" t="str">
        <x:v>JVS-0317</x:v>
      </x:c>
      <x:c r="C318" t="str">
        <x:v>Karet Tepong Biasa PX</x:v>
      </x:c>
      <x:c r="D318" t="str">
        <x:v>Body</x:v>
      </x:c>
      <x:c r="E318" t="str">
        <x:v>PX</x:v>
      </x:c>
      <x:c r="F318" t="str"/>
      <x:c r="G318" s="12" t="n">
        <x:v>35</x:v>
      </x:c>
      <x:c r="H318" s="12" t="n">
        <x:v>35</x:v>
      </x:c>
      <x:c r="I318" s="12" t="n">
        <x:v>0</x:v>
      </x:c>
      <x:c r="J318" s="16" t="n">
        <x:v>0</x:v>
      </x:c>
      <x:c r="K318" s="14" t="n">
        <x:v>4</x:v>
      </x:c>
      <x:c r="L318" s="14" t="n">
        <x:v>1</x:v>
      </x:c>
      <x:c r="M318" t="str">
        <x:v>READY</x:v>
      </x:c>
      <x:c r="N318" t="str">
        <x:v>AKTIF</x:v>
      </x:c>
      <x:c r="O318" t="str"/>
      <x:c r="P318" t="str"/>
      <x:c r="Q318" t="str"/>
      <x:c r="R318" t="str"/>
      <x:c r="S318" t="str"/>
      <x:c r="T318" t="str"/>
      <x:c r="U318" s="18" t="n">
        <x:v>46134.041666666664</x:v>
      </x:c>
      <x:c r="V318" t="str">
        <x:v>INITIAL_IMPORT</x:v>
      </x:c>
    </x:row>
    <x:row r="319">
      <x:c r="A319" t="str">
        <x:v>PRD-JVS-0318</x:v>
      </x:c>
      <x:c r="B319" t="str">
        <x:v>JVS-0318</x:v>
      </x:c>
      <x:c r="C319" t="str">
        <x:v>Karet Tepong Biasa Vespa Super Sprint VBB Bajaj Hitam</x:v>
      </x:c>
      <x:c r="D319" t="str">
        <x:v>Body</x:v>
      </x:c>
      <x:c r="E319" t="str">
        <x:v>SUPER, SPRINT, VBB, BAJAJ</x:v>
      </x:c>
      <x:c r="F319" t="str"/>
      <x:c r="G319" s="12" t="n">
        <x:v>35</x:v>
      </x:c>
      <x:c r="H319" s="12" t="n">
        <x:v>35</x:v>
      </x:c>
      <x:c r="I319" s="12" t="n">
        <x:v>0</x:v>
      </x:c>
      <x:c r="J319" s="16" t="n">
        <x:v>0</x:v>
      </x:c>
      <x:c r="K319" s="14" t="n">
        <x:v>0</x:v>
      </x:c>
      <x:c r="L319" s="14" t="n">
        <x:v>1</x:v>
      </x:c>
      <x:c r="M319" t="str">
        <x:v>OUT OF STOCK</x:v>
      </x:c>
      <x:c r="N319" t="str">
        <x:v>AKTIF</x:v>
      </x:c>
      <x:c r="O319" t="str"/>
      <x:c r="P319" t="str"/>
      <x:c r="Q319" t="str"/>
      <x:c r="R319" t="str"/>
      <x:c r="S319" t="str"/>
      <x:c r="T319" t="str"/>
      <x:c r="U319" s="18" t="n">
        <x:v>46134.041666666664</x:v>
      </x:c>
      <x:c r="V319" t="str">
        <x:v>INITIAL_IMPORT</x:v>
      </x:c>
    </x:row>
    <x:row r="320">
      <x:c r="A320" t="str">
        <x:v>PRD-JVS-0319</x:v>
      </x:c>
      <x:c r="B320" t="str">
        <x:v>JVS-0319</x:v>
      </x:c>
      <x:c r="C320" t="str">
        <x:v>Karet Tepong Kanan Merk Danmotor</x:v>
      </x:c>
      <x:c r="D320" t="str">
        <x:v>Body</x:v>
      </x:c>
      <x:c r="E320" t="str"/>
      <x:c r="F320" t="str"/>
      <x:c r="G320" s="12" t="n">
        <x:v>38</x:v>
      </x:c>
      <x:c r="H320" s="12" t="n">
        <x:v>38</x:v>
      </x:c>
      <x:c r="I320" s="12" t="n">
        <x:v>0</x:v>
      </x:c>
      <x:c r="J320" s="16" t="n">
        <x:v>0</x:v>
      </x:c>
      <x:c r="K320" s="14" t="n">
        <x:v>2</x:v>
      </x:c>
      <x:c r="L320" s="14" t="n">
        <x:v>1</x:v>
      </x:c>
      <x:c r="M320" t="str">
        <x:v>READY</x:v>
      </x:c>
      <x:c r="N320" t="str">
        <x:v>AKTIF</x:v>
      </x:c>
      <x:c r="O320" t="str"/>
      <x:c r="P320" t="str"/>
      <x:c r="Q320" t="str"/>
      <x:c r="R320" t="str"/>
      <x:c r="S320" t="str"/>
      <x:c r="T320" t="str"/>
      <x:c r="U320" s="18" t="n">
        <x:v>46134.041666666664</x:v>
      </x:c>
      <x:c r="V320" t="str">
        <x:v>INITIAL_IMPORT</x:v>
      </x:c>
    </x:row>
    <x:row r="321">
      <x:c r="A321" t="str">
        <x:v>PRD-JVS-0320</x:v>
      </x:c>
      <x:c r="B321" t="str">
        <x:v>JVS-0320</x:v>
      </x:c>
      <x:c r="C321" t="str">
        <x:v>Karet Tepong Kiri Merk Danmotor</x:v>
      </x:c>
      <x:c r="D321" t="str">
        <x:v>Body</x:v>
      </x:c>
      <x:c r="E321" t="str"/>
      <x:c r="F321" t="str"/>
      <x:c r="G321" s="12" t="n">
        <x:v>38</x:v>
      </x:c>
      <x:c r="H321" s="12" t="n">
        <x:v>38</x:v>
      </x:c>
      <x:c r="I321" s="12" t="n">
        <x:v>0</x:v>
      </x:c>
      <x:c r="J321" s="16" t="n">
        <x:v>0</x:v>
      </x:c>
      <x:c r="K321" s="14" t="n">
        <x:v>3</x:v>
      </x:c>
      <x:c r="L321" s="14" t="n">
        <x:v>1</x:v>
      </x:c>
      <x:c r="M321" t="str">
        <x:v>READY</x:v>
      </x:c>
      <x:c r="N321" t="str">
        <x:v>AKTIF</x:v>
      </x:c>
      <x:c r="O321" t="str"/>
      <x:c r="P321" t="str"/>
      <x:c r="Q321" t="str"/>
      <x:c r="R321" t="str"/>
      <x:c r="S321" t="str"/>
      <x:c r="T321" t="str"/>
      <x:c r="U321" s="18" t="n">
        <x:v>46134.041666666664</x:v>
      </x:c>
      <x:c r="V321" t="str">
        <x:v>INITIAL_IMPORT</x:v>
      </x:c>
    </x:row>
    <x:row r="322">
      <x:c r="A322" t="str">
        <x:v>PRD-JVS-0321</x:v>
      </x:c>
      <x:c r="B322" t="str">
        <x:v>JVS-0321</x:v>
      </x:c>
      <x:c r="C322" t="str">
        <x:v>Karet Tepong Vespa Super Sprint Bajaj Semi Metalplast Putih</x:v>
      </x:c>
      <x:c r="D322" t="str">
        <x:v>Body</x:v>
      </x:c>
      <x:c r="E322" t="str">
        <x:v>SUPER, SPRINT, BAJAJ</x:v>
      </x:c>
      <x:c r="F322" t="str"/>
      <x:c r="G322" s="12" t="str"/>
      <x:c r="H322" s="12" t="str"/>
      <x:c r="I322" s="12" t="str"/>
      <x:c r="J322" s="16" t="str"/>
      <x:c r="K322" s="14" t="n">
        <x:v>1</x:v>
      </x:c>
      <x:c r="L322" s="14" t="n">
        <x:v>1</x:v>
      </x:c>
      <x:c r="M322" t="str">
        <x:v>LOW</x:v>
      </x:c>
      <x:c r="N322" t="str">
        <x:v>AKTIF</x:v>
      </x:c>
      <x:c r="O322" t="str"/>
      <x:c r="P322" t="str"/>
      <x:c r="Q322" t="str"/>
      <x:c r="R322" t="str"/>
      <x:c r="S322" t="str"/>
      <x:c r="T322" t="str"/>
      <x:c r="U322" s="18" t="n">
        <x:v>46134.041666666664</x:v>
      </x:c>
      <x:c r="V322" t="str">
        <x:v>INITIAL_IMPORT</x:v>
      </x:c>
    </x:row>
    <x:row r="323">
      <x:c r="A323" t="str">
        <x:v>PRD-JVS-0322</x:v>
      </x:c>
      <x:c r="B323" t="str">
        <x:v>JVS-0322</x:v>
      </x:c>
      <x:c r="C323" t="str">
        <x:v>Karet Tiang Kran Bensin Bagian Nempel Body Excel</x:v>
      </x:c>
      <x:c r="D323" t="str">
        <x:v>Body</x:v>
      </x:c>
      <x:c r="E323" t="str">
        <x:v>EXCEL</x:v>
      </x:c>
      <x:c r="F323" t="str"/>
      <x:c r="G323" s="12" t="n">
        <x:v>5</x:v>
      </x:c>
      <x:c r="H323" s="12" t="n">
        <x:v>5</x:v>
      </x:c>
      <x:c r="I323" s="12" t="n">
        <x:v>0</x:v>
      </x:c>
      <x:c r="J323" s="16" t="n">
        <x:v>0</x:v>
      </x:c>
      <x:c r="K323" s="14" t="n">
        <x:v>2</x:v>
      </x:c>
      <x:c r="L323" s="14" t="n">
        <x:v>1</x:v>
      </x:c>
      <x:c r="M323" t="str">
        <x:v>READY</x:v>
      </x:c>
      <x:c r="N323" t="str">
        <x:v>AKTIF</x:v>
      </x:c>
      <x:c r="O323" t="str"/>
      <x:c r="P323" t="str"/>
      <x:c r="Q323" t="str"/>
      <x:c r="R323" t="str"/>
      <x:c r="S323" t="str"/>
      <x:c r="T323" t="str"/>
      <x:c r="U323" s="18" t="n">
        <x:v>46134.041666666664</x:v>
      </x:c>
      <x:c r="V323" t="str">
        <x:v>INITIAL_IMPORT</x:v>
      </x:c>
    </x:row>
    <x:row r="324">
      <x:c r="A324" t="str">
        <x:v>PRD-JVS-0323</x:v>
      </x:c>
      <x:c r="B324" t="str">
        <x:v>JVS-0323</x:v>
      </x:c>
      <x:c r="C324" t="str">
        <x:v>Karet Tiang Kran Bensin Bagian Nempel Body PX Super</x:v>
      </x:c>
      <x:c r="D324" t="str">
        <x:v>Body</x:v>
      </x:c>
      <x:c r="E324" t="str">
        <x:v>PX, SUPER</x:v>
      </x:c>
      <x:c r="F324" t="str"/>
      <x:c r="G324" s="12" t="n">
        <x:v>5</x:v>
      </x:c>
      <x:c r="H324" s="12" t="n">
        <x:v>5</x:v>
      </x:c>
      <x:c r="I324" s="12" t="n">
        <x:v>0</x:v>
      </x:c>
      <x:c r="J324" s="16" t="n">
        <x:v>0</x:v>
      </x:c>
      <x:c r="K324" s="14" t="n">
        <x:v>6</x:v>
      </x:c>
      <x:c r="L324" s="14" t="n">
        <x:v>1</x:v>
      </x:c>
      <x:c r="M324" t="str">
        <x:v>READY</x:v>
      </x:c>
      <x:c r="N324" t="str">
        <x:v>AKTIF</x:v>
      </x:c>
      <x:c r="O324" t="str"/>
      <x:c r="P324" t="str"/>
      <x:c r="Q324" t="str"/>
      <x:c r="R324" t="str"/>
      <x:c r="S324" t="str"/>
      <x:c r="T324" t="str"/>
      <x:c r="U324" s="18" t="n">
        <x:v>46134.041666666664</x:v>
      </x:c>
      <x:c r="V324" t="str">
        <x:v>INITIAL_IMPORT</x:v>
      </x:c>
    </x:row>
    <x:row r="325">
      <x:c r="A325" t="str">
        <x:v>PRD-JVS-0324</x:v>
      </x:c>
      <x:c r="B325" t="str">
        <x:v>JVS-0324</x:v>
      </x:c>
      <x:c r="C325" t="str">
        <x:v>Karet Triplang Lantai Vespa PX</x:v>
      </x:c>
      <x:c r="D325" t="str">
        <x:v>Servis</x:v>
      </x:c>
      <x:c r="E325" t="str">
        <x:v>PX</x:v>
      </x:c>
      <x:c r="F325" t="str"/>
      <x:c r="G325" s="12" t="str"/>
      <x:c r="H325" s="12" t="str"/>
      <x:c r="I325" s="12" t="str"/>
      <x:c r="J325" s="16" t="str"/>
      <x:c r="K325" s="14" t="n">
        <x:v>5</x:v>
      </x:c>
      <x:c r="L325" s="14" t="n">
        <x:v>1</x:v>
      </x:c>
      <x:c r="M325" t="str">
        <x:v>READY</x:v>
      </x:c>
      <x:c r="N325" t="str">
        <x:v>AKTIF</x:v>
      </x:c>
      <x:c r="O325" t="str"/>
      <x:c r="P325" t="str"/>
      <x:c r="Q325" t="str"/>
      <x:c r="R325" t="str"/>
      <x:c r="S325" t="str"/>
      <x:c r="T325" t="str"/>
      <x:c r="U325" s="18" t="n">
        <x:v>46134.041666666664</x:v>
      </x:c>
      <x:c r="V325" t="str">
        <x:v>INITIAL_IMPORT</x:v>
      </x:c>
    </x:row>
    <x:row r="326">
      <x:c r="A326" t="str">
        <x:v>PRD-JVS-0325</x:v>
      </x:c>
      <x:c r="B326" t="str">
        <x:v>JVS-0325</x:v>
      </x:c>
      <x:c r="C326" t="str">
        <x:v>Karet Triplang Lantai Vespa Sprint</x:v>
      </x:c>
      <x:c r="D326" t="str">
        <x:v>Servis</x:v>
      </x:c>
      <x:c r="E326" t="str">
        <x:v>SPRINT</x:v>
      </x:c>
      <x:c r="F326" t="str"/>
      <x:c r="G326" s="12" t="str"/>
      <x:c r="H326" s="12" t="str"/>
      <x:c r="I326" s="12" t="str"/>
      <x:c r="J326" s="16" t="str"/>
      <x:c r="K326" s="14" t="n">
        <x:v>3</x:v>
      </x:c>
      <x:c r="L326" s="14" t="n">
        <x:v>1</x:v>
      </x:c>
      <x:c r="M326" t="str">
        <x:v>READY</x:v>
      </x:c>
      <x:c r="N326" t="str">
        <x:v>AKTIF</x:v>
      </x:c>
      <x:c r="O326" t="str"/>
      <x:c r="P326" t="str"/>
      <x:c r="Q326" t="str"/>
      <x:c r="R326" t="str"/>
      <x:c r="S326" t="str"/>
      <x:c r="T326" t="str"/>
      <x:c r="U326" s="18" t="n">
        <x:v>46134.041666666664</x:v>
      </x:c>
      <x:c r="V326" t="str">
        <x:v>INITIAL_IMPORT</x:v>
      </x:c>
    </x:row>
    <x:row r="327">
      <x:c r="A327" t="str">
        <x:v>PRD-JVS-0326</x:v>
      </x:c>
      <x:c r="B327" t="str">
        <x:v>JVS-0326</x:v>
      </x:c>
      <x:c r="C327" t="str">
        <x:v>Karet Triplang Lantai Vespa Super</x:v>
      </x:c>
      <x:c r="D327" t="str">
        <x:v>Servis</x:v>
      </x:c>
      <x:c r="E327" t="str">
        <x:v>SUPER</x:v>
      </x:c>
      <x:c r="F327" t="str"/>
      <x:c r="G327" s="12" t="n">
        <x:v>35</x:v>
      </x:c>
      <x:c r="H327" s="12" t="n">
        <x:v>35</x:v>
      </x:c>
      <x:c r="I327" s="12" t="n">
        <x:v>0</x:v>
      </x:c>
      <x:c r="J327" s="16" t="n">
        <x:v>0</x:v>
      </x:c>
      <x:c r="K327" s="14" t="n">
        <x:v>4</x:v>
      </x:c>
      <x:c r="L327" s="14" t="n">
        <x:v>1</x:v>
      </x:c>
      <x:c r="M327" t="str">
        <x:v>READY</x:v>
      </x:c>
      <x:c r="N327" t="str">
        <x:v>AKTIF</x:v>
      </x:c>
      <x:c r="O327" t="str"/>
      <x:c r="P327" t="str"/>
      <x:c r="Q327" t="str"/>
      <x:c r="R327" t="str"/>
      <x:c r="S327" t="str"/>
      <x:c r="T327" t="str"/>
      <x:c r="U327" s="18" t="n">
        <x:v>46134.041666666664</x:v>
      </x:c>
      <x:c r="V327" t="str">
        <x:v>INITIAL_IMPORT</x:v>
      </x:c>
    </x:row>
    <x:row r="328">
      <x:c r="A328" t="str">
        <x:v>PRD-JVS-0327</x:v>
      </x:c>
      <x:c r="B328" t="str">
        <x:v>JVS-0327</x:v>
      </x:c>
      <x:c r="C328" t="str">
        <x:v>Karet Tutup Baut Setelan angin karburator</x:v>
      </x:c>
      <x:c r="D328" t="str">
        <x:v>Mesin</x:v>
      </x:c>
      <x:c r="E328" t="str"/>
      <x:c r="F328" t="str"/>
      <x:c r="G328" s="12" t="str"/>
      <x:c r="H328" s="12" t="str"/>
      <x:c r="I328" s="12" t="str"/>
      <x:c r="J328" s="16" t="str"/>
      <x:c r="K328" s="14" t="n">
        <x:v>2</x:v>
      </x:c>
      <x:c r="L328" s="14" t="n">
        <x:v>1</x:v>
      </x:c>
      <x:c r="M328" t="str">
        <x:v>READY</x:v>
      </x:c>
      <x:c r="N328" t="str">
        <x:v>AKTIF</x:v>
      </x:c>
      <x:c r="O328" t="str"/>
      <x:c r="P328" t="str"/>
      <x:c r="Q328" t="str"/>
      <x:c r="R328" t="str"/>
      <x:c r="S328" t="str"/>
      <x:c r="T328" t="str"/>
      <x:c r="U328" s="18" t="n">
        <x:v>46134.041666666664</x:v>
      </x:c>
      <x:c r="V328" t="str">
        <x:v>INITIAL_IMPORT</x:v>
      </x:c>
    </x:row>
    <x:row r="329">
      <x:c r="A329" t="str">
        <x:v>PRD-JVS-0328</x:v>
      </x:c>
      <x:c r="B329" t="str">
        <x:v>JVS-0328</x:v>
      </x:c>
      <x:c r="C329" t="str">
        <x:v>Karet Tutup Baut Stang Logo Chung Hitam</x:v>
      </x:c>
      <x:c r="D329" t="str">
        <x:v>Body</x:v>
      </x:c>
      <x:c r="E329" t="str"/>
      <x:c r="F329" t="str"/>
      <x:c r="G329" s="12" t="n">
        <x:v>7</x:v>
      </x:c>
      <x:c r="H329" s="12" t="n">
        <x:v>7</x:v>
      </x:c>
      <x:c r="I329" s="12" t="n">
        <x:v>0</x:v>
      </x:c>
      <x:c r="J329" s="16" t="n">
        <x:v>0</x:v>
      </x:c>
      <x:c r="K329" s="14" t="n">
        <x:v>4</x:v>
      </x:c>
      <x:c r="L329" s="14" t="n">
        <x:v>1</x:v>
      </x:c>
      <x:c r="M329" t="str">
        <x:v>READY</x:v>
      </x:c>
      <x:c r="N329" t="str">
        <x:v>AKTIF</x:v>
      </x:c>
      <x:c r="O329" t="str"/>
      <x:c r="P329" t="str"/>
      <x:c r="Q329" t="str"/>
      <x:c r="R329" t="str"/>
      <x:c r="S329" t="str"/>
      <x:c r="T329" t="str"/>
      <x:c r="U329" s="18" t="n">
        <x:v>46134.041666666664</x:v>
      </x:c>
      <x:c r="V329" t="str">
        <x:v>INITIAL_IMPORT</x:v>
      </x:c>
    </x:row>
    <x:row r="330">
      <x:c r="A330" t="str">
        <x:v>PRD-JVS-0329</x:v>
      </x:c>
      <x:c r="B330" t="str">
        <x:v>JVS-0329</x:v>
      </x:c>
      <x:c r="C330" t="str">
        <x:v>Karet tutup karbu bagian Setelan Stasioner</x:v>
      </x:c>
      <x:c r="D330" t="str">
        <x:v>Servis</x:v>
      </x:c>
      <x:c r="E330" t="str"/>
      <x:c r="F330" t="str"/>
      <x:c r="G330" s="12" t="n">
        <x:v>2</x:v>
      </x:c>
      <x:c r="H330" s="12" t="n">
        <x:v>2</x:v>
      </x:c>
      <x:c r="I330" s="12" t="n">
        <x:v>0</x:v>
      </x:c>
      <x:c r="J330" s="16" t="n">
        <x:v>0</x:v>
      </x:c>
      <x:c r="K330" s="14" t="n">
        <x:v>7</x:v>
      </x:c>
      <x:c r="L330" s="14" t="n">
        <x:v>1</x:v>
      </x:c>
      <x:c r="M330" t="str">
        <x:v>READY</x:v>
      </x:c>
      <x:c r="N330" t="str">
        <x:v>AKTIF</x:v>
      </x:c>
      <x:c r="O330" t="str"/>
      <x:c r="P330" t="str"/>
      <x:c r="Q330" t="str"/>
      <x:c r="R330" t="str"/>
      <x:c r="S330" t="str"/>
      <x:c r="T330" t="str"/>
      <x:c r="U330" s="18" t="n">
        <x:v>46134.041666666664</x:v>
      </x:c>
      <x:c r="V330" t="str">
        <x:v>INITIAL_IMPORT</x:v>
      </x:c>
    </x:row>
    <x:row r="331">
      <x:c r="A331" t="str">
        <x:v>PRD-JVS-0330</x:v>
      </x:c>
      <x:c r="B331" t="str">
        <x:v>JVS-0330</x:v>
      </x:c>
      <x:c r="C331" t="str">
        <x:v>Karet Tutup Platina Kipas Magnet VBB Bajaj</x:v>
      </x:c>
      <x:c r="D331" t="str">
        <x:v>Mesin</x:v>
      </x:c>
      <x:c r="E331" t="str">
        <x:v>VBB, BAJAJ</x:v>
      </x:c>
      <x:c r="F331" t="str"/>
      <x:c r="G331" s="12" t="n">
        <x:v>5</x:v>
      </x:c>
      <x:c r="H331" s="12" t="n">
        <x:v>5</x:v>
      </x:c>
      <x:c r="I331" s="12" t="n">
        <x:v>0</x:v>
      </x:c>
      <x:c r="J331" s="16" t="n">
        <x:v>0</x:v>
      </x:c>
      <x:c r="K331" s="14" t="n">
        <x:v>7</x:v>
      </x:c>
      <x:c r="L331" s="14" t="n">
        <x:v>1</x:v>
      </x:c>
      <x:c r="M331" t="str">
        <x:v>READY</x:v>
      </x:c>
      <x:c r="N331" t="str">
        <x:v>AKTIF</x:v>
      </x:c>
      <x:c r="O331" t="str"/>
      <x:c r="P331" t="str"/>
      <x:c r="Q331" t="str"/>
      <x:c r="R331" t="str"/>
      <x:c r="S331" t="str"/>
      <x:c r="T331" t="str"/>
      <x:c r="U331" s="18" t="n">
        <x:v>46134.041666666664</x:v>
      </x:c>
      <x:c r="V331" t="str">
        <x:v>INITIAL_IMPORT</x:v>
      </x:c>
    </x:row>
    <x:row r="332">
      <x:c r="A332" t="str">
        <x:v>PRD-JVS-0331</x:v>
      </x:c>
      <x:c r="B332" t="str">
        <x:v>JVS-0331</x:v>
      </x:c>
      <x:c r="C332" t="str">
        <x:v>Karet Tutup Platina Kipas Platina Vespa PX</x:v>
      </x:c>
      <x:c r="D332" t="str">
        <x:v>Kelistrikan</x:v>
      </x:c>
      <x:c r="E332" t="str">
        <x:v>PX</x:v>
      </x:c>
      <x:c r="F332" t="str"/>
      <x:c r="G332" s="12" t="n">
        <x:v>5</x:v>
      </x:c>
      <x:c r="H332" s="12" t="n">
        <x:v>5</x:v>
      </x:c>
      <x:c r="I332" s="12" t="n">
        <x:v>0</x:v>
      </x:c>
      <x:c r="J332" s="16" t="n">
        <x:v>0</x:v>
      </x:c>
      <x:c r="K332" s="14" t="n">
        <x:v>5</x:v>
      </x:c>
      <x:c r="L332" s="14" t="n">
        <x:v>1</x:v>
      </x:c>
      <x:c r="M332" t="str">
        <x:v>READY</x:v>
      </x:c>
      <x:c r="N332" t="str">
        <x:v>AKTIF</x:v>
      </x:c>
      <x:c r="O332" t="str"/>
      <x:c r="P332" t="str"/>
      <x:c r="Q332" t="str"/>
      <x:c r="R332" t="str"/>
      <x:c r="S332" t="str"/>
      <x:c r="T332" t="str"/>
      <x:c r="U332" s="18" t="n">
        <x:v>46134.041666666664</x:v>
      </x:c>
      <x:c r="V332" t="str">
        <x:v>INITIAL_IMPORT</x:v>
      </x:c>
    </x:row>
    <x:row r="333">
      <x:c r="A333" t="str">
        <x:v>PRD-JVS-0332</x:v>
      </x:c>
      <x:c r="B333" t="str">
        <x:v>JVS-0332</x:v>
      </x:c>
      <x:c r="C333" t="str">
        <x:v>Karet Tutup Platina Kipas Platina Vespa Super Sprint</x:v>
      </x:c>
      <x:c r="D333" t="str">
        <x:v>Kelistrikan</x:v>
      </x:c>
      <x:c r="E333" t="str">
        <x:v>SUPER, SPRINT</x:v>
      </x:c>
      <x:c r="F333" t="str"/>
      <x:c r="G333" s="12" t="n">
        <x:v>5</x:v>
      </x:c>
      <x:c r="H333" s="12" t="n">
        <x:v>5</x:v>
      </x:c>
      <x:c r="I333" s="12" t="n">
        <x:v>0</x:v>
      </x:c>
      <x:c r="J333" s="16" t="n">
        <x:v>0</x:v>
      </x:c>
      <x:c r="K333" s="14" t="n">
        <x:v>4</x:v>
      </x:c>
      <x:c r="L333" s="14" t="n">
        <x:v>1</x:v>
      </x:c>
      <x:c r="M333" t="str">
        <x:v>READY</x:v>
      </x:c>
      <x:c r="N333" t="str">
        <x:v>AKTIF</x:v>
      </x:c>
      <x:c r="O333" t="str"/>
      <x:c r="P333" t="str"/>
      <x:c r="Q333" t="str"/>
      <x:c r="R333" t="str"/>
      <x:c r="S333" t="str"/>
      <x:c r="T333" t="str"/>
      <x:c r="U333" s="18" t="n">
        <x:v>46134.041666666664</x:v>
      </x:c>
      <x:c r="V333" t="str">
        <x:v>INITIAL_IMPORT</x:v>
      </x:c>
    </x:row>
    <x:row r="334">
      <x:c r="A334" t="str">
        <x:v>PRD-JVS-0333</x:v>
      </x:c>
      <x:c r="B334" t="str">
        <x:v>JVS-0333</x:v>
      </x:c>
      <x:c r="C334" t="str">
        <x:v>Karet tutup Tangki Biasa PX Super</x:v>
      </x:c>
      <x:c r="D334" t="str">
        <x:v>Servis</x:v>
      </x:c>
      <x:c r="E334" t="str">
        <x:v>PX, SUPER</x:v>
      </x:c>
      <x:c r="F334" t="str"/>
      <x:c r="G334" s="12" t="n">
        <x:v>7</x:v>
      </x:c>
      <x:c r="H334" s="12" t="n">
        <x:v>7</x:v>
      </x:c>
      <x:c r="I334" s="12" t="n">
        <x:v>0</x:v>
      </x:c>
      <x:c r="J334" s="16" t="n">
        <x:v>0</x:v>
      </x:c>
      <x:c r="K334" s="14" t="n">
        <x:v>3</x:v>
      </x:c>
      <x:c r="L334" s="14" t="n">
        <x:v>1</x:v>
      </x:c>
      <x:c r="M334" t="str">
        <x:v>READY</x:v>
      </x:c>
      <x:c r="N334" t="str">
        <x:v>AKTIF</x:v>
      </x:c>
      <x:c r="O334" t="str"/>
      <x:c r="P334" t="str"/>
      <x:c r="Q334" t="str"/>
      <x:c r="R334" t="str"/>
      <x:c r="S334" t="str"/>
      <x:c r="T334" t="str"/>
      <x:c r="U334" s="18" t="n">
        <x:v>46134.041666666664</x:v>
      </x:c>
      <x:c r="V334" t="str">
        <x:v>INITIAL_IMPORT</x:v>
      </x:c>
    </x:row>
    <x:row r="335">
      <x:c r="A335" t="str">
        <x:v>PRD-JVS-0334</x:v>
      </x:c>
      <x:c r="B335" t="str">
        <x:v>JVS-0334</x:v>
      </x:c>
      <x:c r="C335" t="str">
        <x:v>Karet Tutup Tangki Tutup Tangki Bensin Tebal Metalplast Merk Bagus</x:v>
      </x:c>
      <x:c r="D335" t="str">
        <x:v>Servis</x:v>
      </x:c>
      <x:c r="E335" t="str"/>
      <x:c r="F335" t="str"/>
      <x:c r="G335" s="12" t="n">
        <x:v>20</x:v>
      </x:c>
      <x:c r="H335" s="12" t="n">
        <x:v>20</x:v>
      </x:c>
      <x:c r="I335" s="12" t="n">
        <x:v>0</x:v>
      </x:c>
      <x:c r="J335" s="16" t="n">
        <x:v>0</x:v>
      </x:c>
      <x:c r="K335" s="14" t="n">
        <x:v>6</x:v>
      </x:c>
      <x:c r="L335" s="14" t="n">
        <x:v>1</x:v>
      </x:c>
      <x:c r="M335" t="str">
        <x:v>READY</x:v>
      </x:c>
      <x:c r="N335" t="str">
        <x:v>AKTIF</x:v>
      </x:c>
      <x:c r="O335" t="str"/>
      <x:c r="P335" t="str"/>
      <x:c r="Q335" t="str"/>
      <x:c r="R335" t="str"/>
      <x:c r="S335" t="str"/>
      <x:c r="T335" t="str"/>
      <x:c r="U335" s="18" t="n">
        <x:v>46134.041666666664</x:v>
      </x:c>
      <x:c r="V335" t="str">
        <x:v>INITIAL_IMPORT</x:v>
      </x:c>
    </x:row>
    <x:row r="336">
      <x:c r="A336" t="str">
        <x:v>PRD-JVS-0335</x:v>
      </x:c>
      <x:c r="B336" t="str">
        <x:v>JVS-0335</x:v>
      </x:c>
      <x:c r="C336" t="str">
        <x:v>Karet Tutup Tangki Vespa Excel PXE Strada Spartan Danmotor</x:v>
      </x:c>
      <x:c r="D336" t="str">
        <x:v>Servis</x:v>
      </x:c>
      <x:c r="E336" t="str">
        <x:v>EXCEL, PXE, PX, STRADA, SPARTAN</x:v>
      </x:c>
      <x:c r="F336" t="str"/>
      <x:c r="G336" s="12" t="n">
        <x:v>13</x:v>
      </x:c>
      <x:c r="H336" s="12" t="n">
        <x:v>13</x:v>
      </x:c>
      <x:c r="I336" s="12" t="n">
        <x:v>0</x:v>
      </x:c>
      <x:c r="J336" s="16" t="n">
        <x:v>0</x:v>
      </x:c>
      <x:c r="K336" s="14" t="n">
        <x:v>2</x:v>
      </x:c>
      <x:c r="L336" s="14" t="n">
        <x:v>1</x:v>
      </x:c>
      <x:c r="M336" t="str">
        <x:v>READY</x:v>
      </x:c>
      <x:c r="N336" t="str">
        <x:v>AKTIF</x:v>
      </x:c>
      <x:c r="O336" t="str"/>
      <x:c r="P336" t="str"/>
      <x:c r="Q336" t="str"/>
      <x:c r="R336" t="str"/>
      <x:c r="S336" t="str"/>
      <x:c r="T336" t="str"/>
      <x:c r="U336" s="18" t="n">
        <x:v>46134.041666666664</x:v>
      </x:c>
      <x:c r="V336" t="str">
        <x:v>INITIAL_IMPORT</x:v>
      </x:c>
    </x:row>
    <x:row r="337">
      <x:c r="A337" t="str">
        <x:v>PRD-JVS-0336</x:v>
      </x:c>
      <x:c r="B337" t="str">
        <x:v>JVS-0336</x:v>
      </x:c>
      <x:c r="C337" t="str">
        <x:v>Karpet Karet Lantai Kiri Kanan Vespa PX Model Danmotor Import</x:v>
      </x:c>
      <x:c r="D337" t="str">
        <x:v>Servis</x:v>
      </x:c>
      <x:c r="E337" t="str">
        <x:v>PX</x:v>
      </x:c>
      <x:c r="F337" t="str"/>
      <x:c r="G337" s="12" t="n">
        <x:v>75</x:v>
      </x:c>
      <x:c r="H337" s="12" t="n">
        <x:v>75</x:v>
      </x:c>
      <x:c r="I337" s="12" t="n">
        <x:v>0</x:v>
      </x:c>
      <x:c r="J337" s="16" t="n">
        <x:v>0</x:v>
      </x:c>
      <x:c r="K337" s="14" t="n">
        <x:v>1</x:v>
      </x:c>
      <x:c r="L337" s="14" t="n">
        <x:v>1</x:v>
      </x:c>
      <x:c r="M337" t="str">
        <x:v>LOW</x:v>
      </x:c>
      <x:c r="N337" t="str">
        <x:v>AKTIF</x:v>
      </x:c>
      <x:c r="O337" t="str"/>
      <x:c r="P337" t="str"/>
      <x:c r="Q337" t="str"/>
      <x:c r="R337" t="str"/>
      <x:c r="S337" t="str"/>
      <x:c r="T337" t="str"/>
      <x:c r="U337" s="18" t="n">
        <x:v>46134.041666666664</x:v>
      </x:c>
      <x:c r="V337" t="str">
        <x:v>INITIAL_IMPORT</x:v>
      </x:c>
    </x:row>
    <x:row r="338">
      <x:c r="A338" t="str">
        <x:v>PRD-JVS-0337</x:v>
      </x:c>
      <x:c r="B338" t="str">
        <x:v>JVS-0337</x:v>
      </x:c>
      <x:c r="C338" t="str">
        <x:v>Kawat B Puli Tahanan Stik Stang Vespa PX</x:v>
      </x:c>
      <x:c r="D338" t="str">
        <x:v>Body</x:v>
      </x:c>
      <x:c r="E338" t="str">
        <x:v>PX</x:v>
      </x:c>
      <x:c r="F338" t="str"/>
      <x:c r="G338" s="12" t="n">
        <x:v>5</x:v>
      </x:c>
      <x:c r="H338" s="12" t="n">
        <x:v>5</x:v>
      </x:c>
      <x:c r="I338" s="12" t="n">
        <x:v>0</x:v>
      </x:c>
      <x:c r="J338" s="16" t="n">
        <x:v>0</x:v>
      </x:c>
      <x:c r="K338" s="14" t="n">
        <x:v>7</x:v>
      </x:c>
      <x:c r="L338" s="14" t="n">
        <x:v>1</x:v>
      </x:c>
      <x:c r="M338" t="str">
        <x:v>READY</x:v>
      </x:c>
      <x:c r="N338" t="str">
        <x:v>AKTIF</x:v>
      </x:c>
      <x:c r="O338" t="str"/>
      <x:c r="P338" t="str"/>
      <x:c r="Q338" t="str"/>
      <x:c r="R338" t="str"/>
      <x:c r="S338" t="str"/>
      <x:c r="T338" t="str"/>
      <x:c r="U338" s="18" t="n">
        <x:v>46134.041666666664</x:v>
      </x:c>
      <x:c r="V338" t="str">
        <x:v>INITIAL_IMPORT</x:v>
      </x:c>
    </x:row>
    <x:row r="339">
      <x:c r="A339" t="str">
        <x:v>PRD-JVS-0338</x:v>
      </x:c>
      <x:c r="B339" t="str">
        <x:v>JVS-0338</x:v>
      </x:c>
      <x:c r="C339" t="str">
        <x:v>Kawat Gobangan Kopling</x:v>
      </x:c>
      <x:c r="D339" t="str">
        <x:v>Mesin</x:v>
      </x:c>
      <x:c r="E339" t="str"/>
      <x:c r="F339" t="str"/>
      <x:c r="G339" s="12" t="n">
        <x:v>3</x:v>
      </x:c>
      <x:c r="H339" s="12" t="n">
        <x:v>3</x:v>
      </x:c>
      <x:c r="I339" s="12" t="n">
        <x:v>0</x:v>
      </x:c>
      <x:c r="J339" s="16" t="n">
        <x:v>0</x:v>
      </x:c>
      <x:c r="K339" s="14" t="n">
        <x:v>14</x:v>
      </x:c>
      <x:c r="L339" s="14" t="n">
        <x:v>1</x:v>
      </x:c>
      <x:c r="M339" t="str">
        <x:v>READY</x:v>
      </x:c>
      <x:c r="N339" t="str">
        <x:v>AKTIF</x:v>
      </x:c>
      <x:c r="O339" t="str"/>
      <x:c r="P339" t="str"/>
      <x:c r="Q339" t="str"/>
      <x:c r="R339" t="str"/>
      <x:c r="S339" t="str"/>
      <x:c r="T339" t="str"/>
      <x:c r="U339" s="18" t="n">
        <x:v>46134.041666666664</x:v>
      </x:c>
      <x:c r="V339" t="str">
        <x:v>INITIAL_IMPORT</x:v>
      </x:c>
    </x:row>
    <x:row r="340">
      <x:c r="A340" t="str">
        <x:v>PRD-JVS-0339</x:v>
      </x:c>
      <x:c r="B340" t="str">
        <x:v>JVS-0339</x:v>
      </x:c>
      <x:c r="C340" t="str">
        <x:v>Kawat Kopling Biasa</x:v>
      </x:c>
      <x:c r="D340" t="str">
        <x:v>Mesin</x:v>
      </x:c>
      <x:c r="E340" t="str"/>
      <x:c r="F340" t="str"/>
      <x:c r="G340" s="12" t="n">
        <x:v>5</x:v>
      </x:c>
      <x:c r="H340" s="12" t="n">
        <x:v>5</x:v>
      </x:c>
      <x:c r="I340" s="12" t="n">
        <x:v>0</x:v>
      </x:c>
      <x:c r="J340" s="16" t="n">
        <x:v>0</x:v>
      </x:c>
      <x:c r="K340" s="14" t="n">
        <x:v>20</x:v>
      </x:c>
      <x:c r="L340" s="14" t="n">
        <x:v>1</x:v>
      </x:c>
      <x:c r="M340" t="str">
        <x:v>READY</x:v>
      </x:c>
      <x:c r="N340" t="str">
        <x:v>AKTIF</x:v>
      </x:c>
      <x:c r="O340" t="str"/>
      <x:c r="P340" t="str"/>
      <x:c r="Q340" t="str"/>
      <x:c r="R340" t="str"/>
      <x:c r="S340" t="str"/>
      <x:c r="T340" t="str"/>
      <x:c r="U340" s="18" t="n">
        <x:v>46134.041666666664</x:v>
      </x:c>
      <x:c r="V340" t="str">
        <x:v>INITIAL_IMPORT</x:v>
      </x:c>
    </x:row>
    <x:row r="341">
      <x:c r="A341" t="str">
        <x:v>PRD-JVS-0340</x:v>
      </x:c>
      <x:c r="B341" t="str">
        <x:v>JVS-0340</x:v>
      </x:c>
      <x:c r="C341" t="str">
        <x:v>Kawat Kopling Original Danmotor</x:v>
      </x:c>
      <x:c r="D341" t="str">
        <x:v>Mesin</x:v>
      </x:c>
      <x:c r="E341" t="str"/>
      <x:c r="F341" t="str"/>
      <x:c r="G341" s="12" t="n">
        <x:v>13</x:v>
      </x:c>
      <x:c r="H341" s="12" t="n">
        <x:v>13</x:v>
      </x:c>
      <x:c r="I341" s="12" t="n">
        <x:v>0</x:v>
      </x:c>
      <x:c r="J341" s="16" t="n">
        <x:v>0</x:v>
      </x:c>
      <x:c r="K341" s="14" t="n">
        <x:v>6</x:v>
      </x:c>
      <x:c r="L341" s="14" t="n">
        <x:v>1</x:v>
      </x:c>
      <x:c r="M341" t="str">
        <x:v>READY</x:v>
      </x:c>
      <x:c r="N341" t="str">
        <x:v>AKTIF</x:v>
      </x:c>
      <x:c r="O341" t="str"/>
      <x:c r="P341" t="str"/>
      <x:c r="Q341" t="str"/>
      <x:c r="R341" t="str"/>
      <x:c r="S341" t="str"/>
      <x:c r="T341" t="str"/>
      <x:c r="U341" s="18" t="n">
        <x:v>46134.041666666664</x:v>
      </x:c>
      <x:c r="V341" t="str">
        <x:v>INITIAL_IMPORT</x:v>
      </x:c>
    </x:row>
    <x:row r="342">
      <x:c r="A342" t="str">
        <x:v>PRD-JVS-0341</x:v>
      </x:c>
      <x:c r="B342" t="str">
        <x:v>JVS-0341</x:v>
      </x:c>
      <x:c r="C342" t="str">
        <x:v>Kawat Perseneling/ Gas</x:v>
      </x:c>
      <x:c r="D342" t="str">
        <x:v>Aksesoris</x:v>
      </x:c>
      <x:c r="E342" t="str"/>
      <x:c r="F342" t="str"/>
      <x:c r="G342" s="12" t="n">
        <x:v>5</x:v>
      </x:c>
      <x:c r="H342" s="12" t="n">
        <x:v>5</x:v>
      </x:c>
      <x:c r="I342" s="12" t="n">
        <x:v>0</x:v>
      </x:c>
      <x:c r="J342" s="16" t="n">
        <x:v>0</x:v>
      </x:c>
      <x:c r="K342" s="14" t="n">
        <x:v>21</x:v>
      </x:c>
      <x:c r="L342" s="14" t="n">
        <x:v>1</x:v>
      </x:c>
      <x:c r="M342" t="str">
        <x:v>READY</x:v>
      </x:c>
      <x:c r="N342" t="str">
        <x:v>AKTIF</x:v>
      </x:c>
      <x:c r="O342" t="str"/>
      <x:c r="P342" t="str"/>
      <x:c r="Q342" t="str"/>
      <x:c r="R342" t="str"/>
      <x:c r="S342" t="str"/>
      <x:c r="T342" t="str"/>
      <x:c r="U342" s="18" t="n">
        <x:v>46134.041666666664</x:v>
      </x:c>
      <x:c r="V342" t="str">
        <x:v>INITIAL_IMPORT</x:v>
      </x:c>
    </x:row>
    <x:row r="343">
      <x:c r="A343" t="str">
        <x:v>PRD-JVS-0342</x:v>
      </x:c>
      <x:c r="B343" t="str">
        <x:v>JVS-0342</x:v>
      </x:c>
      <x:c r="C343" t="str">
        <x:v>Kawat Persneling Gigi Original Danmotor</x:v>
      </x:c>
      <x:c r="D343" t="str">
        <x:v>Mesin</x:v>
      </x:c>
      <x:c r="E343" t="str"/>
      <x:c r="F343" t="str"/>
      <x:c r="G343" s="12" t="n">
        <x:v>13</x:v>
      </x:c>
      <x:c r="H343" s="12" t="n">
        <x:v>13</x:v>
      </x:c>
      <x:c r="I343" s="12" t="n">
        <x:v>0</x:v>
      </x:c>
      <x:c r="J343" s="16" t="n">
        <x:v>0</x:v>
      </x:c>
      <x:c r="K343" s="14" t="n">
        <x:v>0</x:v>
      </x:c>
      <x:c r="L343" s="14" t="n">
        <x:v>1</x:v>
      </x:c>
      <x:c r="M343" t="str">
        <x:v>OUT OF STOCK</x:v>
      </x:c>
      <x:c r="N343" t="str">
        <x:v>AKTIF</x:v>
      </x:c>
      <x:c r="O343" t="str"/>
      <x:c r="P343" t="str"/>
      <x:c r="Q343" t="str"/>
      <x:c r="R343" t="str"/>
      <x:c r="S343" t="str"/>
      <x:c r="T343" t="str"/>
      <x:c r="U343" s="18" t="n">
        <x:v>46134.041666666664</x:v>
      </x:c>
      <x:c r="V343" t="str">
        <x:v>INITIAL_IMPORT</x:v>
      </x:c>
    </x:row>
    <x:row r="344">
      <x:c r="A344" t="str">
        <x:v>PRD-JVS-0343</x:v>
      </x:c>
      <x:c r="B344" t="str">
        <x:v>JVS-0343</x:v>
      </x:c>
      <x:c r="C344" t="str">
        <x:v>Kawat Rem</x:v>
      </x:c>
      <x:c r="D344" t="str">
        <x:v>Kaki-Kaki</x:v>
      </x:c>
      <x:c r="E344" t="str"/>
      <x:c r="F344" t="str"/>
      <x:c r="G344" s="12" t="n">
        <x:v>10</x:v>
      </x:c>
      <x:c r="H344" s="12" t="n">
        <x:v>10</x:v>
      </x:c>
      <x:c r="I344" s="12" t="n">
        <x:v>0</x:v>
      </x:c>
      <x:c r="J344" s="16" t="n">
        <x:v>0</x:v>
      </x:c>
      <x:c r="K344" s="14" t="n">
        <x:v>4</x:v>
      </x:c>
      <x:c r="L344" s="14" t="n">
        <x:v>1</x:v>
      </x:c>
      <x:c r="M344" t="str">
        <x:v>READY</x:v>
      </x:c>
      <x:c r="N344" t="str">
        <x:v>AKTIF</x:v>
      </x:c>
      <x:c r="O344" t="str"/>
      <x:c r="P344" t="str"/>
      <x:c r="Q344" t="str"/>
      <x:c r="R344" t="str"/>
      <x:c r="S344" t="str"/>
      <x:c r="T344" t="str"/>
      <x:c r="U344" s="18" t="n">
        <x:v>46134.041666666664</x:v>
      </x:c>
      <x:c r="V344" t="str">
        <x:v>INITIAL_IMPORT</x:v>
      </x:c>
    </x:row>
    <x:row r="345">
      <x:c r="A345" t="str">
        <x:v>PRD-JVS-0344</x:v>
      </x:c>
      <x:c r="B345" t="str">
        <x:v>JVS-0344</x:v>
      </x:c>
      <x:c r="C345" t="str">
        <x:v>Kawat Rem Belakang Model nepel di depan</x:v>
      </x:c>
      <x:c r="D345" t="str">
        <x:v>Kaki-Kaki</x:v>
      </x:c>
      <x:c r="E345" t="str"/>
      <x:c r="F345" t="str"/>
      <x:c r="G345" s="12" t="n">
        <x:v>13</x:v>
      </x:c>
      <x:c r="H345" s="12" t="n">
        <x:v>13</x:v>
      </x:c>
      <x:c r="I345" s="12" t="n">
        <x:v>0</x:v>
      </x:c>
      <x:c r="J345" s="16" t="n">
        <x:v>0</x:v>
      </x:c>
      <x:c r="K345" s="14" t="n">
        <x:v>6</x:v>
      </x:c>
      <x:c r="L345" s="14" t="n">
        <x:v>1</x:v>
      </x:c>
      <x:c r="M345" t="str">
        <x:v>READY</x:v>
      </x:c>
      <x:c r="N345" t="str">
        <x:v>AKTIF</x:v>
      </x:c>
      <x:c r="O345" t="str"/>
      <x:c r="P345" t="str"/>
      <x:c r="Q345" t="str"/>
      <x:c r="R345" t="str"/>
      <x:c r="S345" t="str"/>
      <x:c r="T345" t="str"/>
      <x:c r="U345" s="18" t="n">
        <x:v>46134.041666666664</x:v>
      </x:c>
      <x:c r="V345" t="str">
        <x:v>INITIAL_IMPORT</x:v>
      </x:c>
    </x:row>
    <x:row r="346">
      <x:c r="A346" t="str">
        <x:v>PRD-JVS-0345</x:v>
      </x:c>
      <x:c r="B346" t="str">
        <x:v>JVS-0345</x:v>
      </x:c>
      <x:c r="C346" t="str">
        <x:v>Kawat rem Model Setelan Custom</x:v>
      </x:c>
      <x:c r="D346" t="str">
        <x:v>Kaki-Kaki</x:v>
      </x:c>
      <x:c r="E346" t="str"/>
      <x:c r="F346" t="str"/>
      <x:c r="G346" s="12" t="n">
        <x:v>85</x:v>
      </x:c>
      <x:c r="H346" s="12" t="n">
        <x:v>85</x:v>
      </x:c>
      <x:c r="I346" s="12" t="n">
        <x:v>0</x:v>
      </x:c>
      <x:c r="J346" s="16" t="n">
        <x:v>0</x:v>
      </x:c>
      <x:c r="K346" s="14" t="n">
        <x:v>5</x:v>
      </x:c>
      <x:c r="L346" s="14" t="n">
        <x:v>1</x:v>
      </x:c>
      <x:c r="M346" t="str">
        <x:v>READY</x:v>
      </x:c>
      <x:c r="N346" t="str">
        <x:v>AKTIF</x:v>
      </x:c>
      <x:c r="O346" t="str"/>
      <x:c r="P346" t="str"/>
      <x:c r="Q346" t="str"/>
      <x:c r="R346" t="str"/>
      <x:c r="S346" t="str"/>
      <x:c r="T346" t="str"/>
      <x:c r="U346" s="18" t="n">
        <x:v>46134.041666666664</x:v>
      </x:c>
      <x:c r="V346" t="str">
        <x:v>INITIAL_IMPORT</x:v>
      </x:c>
    </x:row>
    <x:row r="347">
      <x:c r="A347" t="str">
        <x:v>PRD-JVS-0346</x:v>
      </x:c>
      <x:c r="B347" t="str">
        <x:v>JVS-0346</x:v>
      </x:c>
      <x:c r="C347" t="str">
        <x:v>Kawat Tarikan Gas Skep Gas Karburator Vespa</x:v>
      </x:c>
      <x:c r="D347" t="str">
        <x:v>Mesin</x:v>
      </x:c>
      <x:c r="E347" t="str"/>
      <x:c r="F347" t="str"/>
      <x:c r="G347" s="12" t="n">
        <x:v>10</x:v>
      </x:c>
      <x:c r="H347" s="12" t="n">
        <x:v>10</x:v>
      </x:c>
      <x:c r="I347" s="12" t="n">
        <x:v>0</x:v>
      </x:c>
      <x:c r="J347" s="16" t="n">
        <x:v>0</x:v>
      </x:c>
      <x:c r="K347" s="14" t="n">
        <x:v>3</x:v>
      </x:c>
      <x:c r="L347" s="14" t="n">
        <x:v>1</x:v>
      </x:c>
      <x:c r="M347" t="str">
        <x:v>READY</x:v>
      </x:c>
      <x:c r="N347" t="str">
        <x:v>AKTIF</x:v>
      </x:c>
      <x:c r="O347" t="str"/>
      <x:c r="P347" t="str"/>
      <x:c r="Q347" t="str"/>
      <x:c r="R347" t="str"/>
      <x:c r="S347" t="str"/>
      <x:c r="T347" t="str"/>
      <x:c r="U347" s="18" t="n">
        <x:v>46134.041666666664</x:v>
      </x:c>
      <x:c r="V347" t="str">
        <x:v>INITIAL_IMPORT</x:v>
      </x:c>
    </x:row>
    <x:row r="348">
      <x:c r="A348" t="str">
        <x:v>PRD-JVS-0347</x:v>
      </x:c>
      <x:c r="B348" t="str">
        <x:v>JVS-0347</x:v>
      </x:c>
      <x:c r="C348" t="str">
        <x:v>Kawat U Puli tahanan stik Stang Vespa Super</x:v>
      </x:c>
      <x:c r="D348" t="str">
        <x:v>Body</x:v>
      </x:c>
      <x:c r="E348" t="str">
        <x:v>SUPER</x:v>
      </x:c>
      <x:c r="F348" t="str"/>
      <x:c r="G348" s="12" t="n">
        <x:v>5</x:v>
      </x:c>
      <x:c r="H348" s="12" t="n">
        <x:v>5</x:v>
      </x:c>
      <x:c r="I348" s="12" t="n">
        <x:v>0</x:v>
      </x:c>
      <x:c r="J348" s="16" t="n">
        <x:v>0</x:v>
      </x:c>
      <x:c r="K348" s="14" t="n">
        <x:v>5</x:v>
      </x:c>
      <x:c r="L348" s="14" t="n">
        <x:v>1</x:v>
      </x:c>
      <x:c r="M348" t="str">
        <x:v>READY</x:v>
      </x:c>
      <x:c r="N348" t="str">
        <x:v>AKTIF</x:v>
      </x:c>
      <x:c r="O348" t="str"/>
      <x:c r="P348" t="str"/>
      <x:c r="Q348" t="str"/>
      <x:c r="R348" t="str"/>
      <x:c r="S348" t="str"/>
      <x:c r="T348" t="str"/>
      <x:c r="U348" s="18" t="n">
        <x:v>46134.041666666664</x:v>
      </x:c>
      <x:c r="V348" t="str">
        <x:v>INITIAL_IMPORT</x:v>
      </x:c>
    </x:row>
    <x:row r="349">
      <x:c r="A349" t="str">
        <x:v>PRD-JVS-0348</x:v>
      </x:c>
      <x:c r="B349" t="str">
        <x:v>JVS-0348</x:v>
      </x:c>
      <x:c r="C349" t="str">
        <x:v>Kipas Magnet Replika Malossi</x:v>
      </x:c>
      <x:c r="D349" t="str">
        <x:v>Mesin</x:v>
      </x:c>
      <x:c r="E349" t="str"/>
      <x:c r="F349" t="str"/>
      <x:c r="G349" s="12" t="n">
        <x:v>75</x:v>
      </x:c>
      <x:c r="H349" s="12" t="n">
        <x:v>75</x:v>
      </x:c>
      <x:c r="I349" s="12" t="n">
        <x:v>0</x:v>
      </x:c>
      <x:c r="J349" s="16" t="n">
        <x:v>0</x:v>
      </x:c>
      <x:c r="K349" s="14" t="n">
        <x:v>1</x:v>
      </x:c>
      <x:c r="L349" s="14" t="n">
        <x:v>1</x:v>
      </x:c>
      <x:c r="M349" t="str">
        <x:v>LOW</x:v>
      </x:c>
      <x:c r="N349" t="str">
        <x:v>AKTIF</x:v>
      </x:c>
      <x:c r="O349" t="str"/>
      <x:c r="P349" t="str"/>
      <x:c r="Q349" t="str"/>
      <x:c r="R349" t="str"/>
      <x:c r="S349" t="str"/>
      <x:c r="T349" t="str"/>
      <x:c r="U349" s="18" t="n">
        <x:v>46134.041666666664</x:v>
      </x:c>
      <x:c r="V349" t="str">
        <x:v>INITIAL_IMPORT</x:v>
      </x:c>
    </x:row>
    <x:row r="350">
      <x:c r="A350" t="str">
        <x:v>PRD-JVS-0349</x:v>
      </x:c>
      <x:c r="B350" t="str">
        <x:v>JVS-0349</x:v>
      </x:c>
      <x:c r="C350" t="str">
        <x:v>Kipas Magnet Replika Polini</x:v>
      </x:c>
      <x:c r="D350" t="str">
        <x:v>Mesin</x:v>
      </x:c>
      <x:c r="E350" t="str"/>
      <x:c r="F350" t="str"/>
      <x:c r="G350" s="12" t="n">
        <x:v>75</x:v>
      </x:c>
      <x:c r="H350" s="12" t="n">
        <x:v>75</x:v>
      </x:c>
      <x:c r="I350" s="12" t="n">
        <x:v>0</x:v>
      </x:c>
      <x:c r="J350" s="16" t="n">
        <x:v>0</x:v>
      </x:c>
      <x:c r="K350" s="14" t="n">
        <x:v>1</x:v>
      </x:c>
      <x:c r="L350" s="14" t="n">
        <x:v>1</x:v>
      </x:c>
      <x:c r="M350" t="str">
        <x:v>LOW</x:v>
      </x:c>
      <x:c r="N350" t="str">
        <x:v>AKTIF</x:v>
      </x:c>
      <x:c r="O350" t="str"/>
      <x:c r="P350" t="str"/>
      <x:c r="Q350" t="str"/>
      <x:c r="R350" t="str"/>
      <x:c r="S350" t="str"/>
      <x:c r="T350" t="str"/>
      <x:c r="U350" s="18" t="n">
        <x:v>46134.041666666664</x:v>
      </x:c>
      <x:c r="V350" t="str">
        <x:v>INITIAL_IMPORT</x:v>
      </x:c>
    </x:row>
    <x:row r="351">
      <x:c r="A351" t="str">
        <x:v>PRD-JVS-0350</x:v>
      </x:c>
      <x:c r="B351" t="str">
        <x:v>JVS-0350</x:v>
      </x:c>
      <x:c r="C351" t="str">
        <x:v>Kipas Magnet Vespa Model Bajaj Standart Besi Cor</x:v>
      </x:c>
      <x:c r="D351" t="str">
        <x:v>Mesin</x:v>
      </x:c>
      <x:c r="E351" t="str">
        <x:v>BAJAJ</x:v>
      </x:c>
      <x:c r="F351" t="str"/>
      <x:c r="G351" s="12" t="n">
        <x:v>85</x:v>
      </x:c>
      <x:c r="H351" s="12" t="n">
        <x:v>85</x:v>
      </x:c>
      <x:c r="I351" s="12" t="n">
        <x:v>0</x:v>
      </x:c>
      <x:c r="J351" s="16" t="n">
        <x:v>0</x:v>
      </x:c>
      <x:c r="K351" s="14" t="n">
        <x:v>1</x:v>
      </x:c>
      <x:c r="L351" s="14" t="n">
        <x:v>1</x:v>
      </x:c>
      <x:c r="M351" t="str">
        <x:v>LOW</x:v>
      </x:c>
      <x:c r="N351" t="str">
        <x:v>AKTIF</x:v>
      </x:c>
      <x:c r="O351" t="str"/>
      <x:c r="P351" t="str"/>
      <x:c r="Q351" t="str"/>
      <x:c r="R351" t="str"/>
      <x:c r="S351" t="str"/>
      <x:c r="T351" t="str"/>
      <x:c r="U351" s="18" t="n">
        <x:v>46134.041666666664</x:v>
      </x:c>
      <x:c r="V351" t="str">
        <x:v>INITIAL_IMPORT</x:v>
      </x:c>
    </x:row>
    <x:row r="352">
      <x:c r="A352" t="str">
        <x:v>PRD-JVS-0351</x:v>
      </x:c>
      <x:c r="B352" t="str">
        <x:v>JVS-0351</x:v>
      </x:c>
      <x:c r="C352" t="str">
        <x:v>Kiprok / Regulator Kaki 4 Vespa Excel Vifo</x:v>
      </x:c>
      <x:c r="D352" t="str">
        <x:v>Kelistrikan</x:v>
      </x:c>
      <x:c r="E352" t="str">
        <x:v>EXCEL</x:v>
      </x:c>
      <x:c r="F352" t="str"/>
      <x:c r="G352" s="12" t="n">
        <x:v>125</x:v>
      </x:c>
      <x:c r="H352" s="12" t="n">
        <x:v>125</x:v>
      </x:c>
      <x:c r="I352" s="12" t="n">
        <x:v>0</x:v>
      </x:c>
      <x:c r="J352" s="16" t="n">
        <x:v>0</x:v>
      </x:c>
      <x:c r="K352" s="14" t="n">
        <x:v>1</x:v>
      </x:c>
      <x:c r="L352" s="14" t="n">
        <x:v>1</x:v>
      </x:c>
      <x:c r="M352" t="str">
        <x:v>LOW</x:v>
      </x:c>
      <x:c r="N352" t="str">
        <x:v>AKTIF</x:v>
      </x:c>
      <x:c r="O352" t="str"/>
      <x:c r="P352" t="str"/>
      <x:c r="Q352" t="str"/>
      <x:c r="R352" t="str"/>
      <x:c r="S352" t="str"/>
      <x:c r="T352" t="str"/>
      <x:c r="U352" s="18" t="n">
        <x:v>46134.041666666664</x:v>
      </x:c>
      <x:c r="V352" t="str">
        <x:v>INITIAL_IMPORT</x:v>
      </x:c>
    </x:row>
    <x:row r="353">
      <x:c r="A353" t="str">
        <x:v>PRD-JVS-0352</x:v>
      </x:c>
      <x:c r="B353" t="str">
        <x:v>JVS-0352</x:v>
      </x:c>
      <x:c r="C353" t="str">
        <x:v>Kiprok / Regulator Kaki 4 Vespa PX Import</x:v>
      </x:c>
      <x:c r="D353" t="str">
        <x:v>Kelistrikan</x:v>
      </x:c>
      <x:c r="E353" t="str">
        <x:v>PX</x:v>
      </x:c>
      <x:c r="F353" t="str"/>
      <x:c r="G353" s="12" t="n">
        <x:v>65</x:v>
      </x:c>
      <x:c r="H353" s="12" t="n">
        <x:v>65</x:v>
      </x:c>
      <x:c r="I353" s="12" t="n">
        <x:v>0</x:v>
      </x:c>
      <x:c r="J353" s="16" t="n">
        <x:v>0</x:v>
      </x:c>
      <x:c r="K353" s="14" t="n">
        <x:v>2</x:v>
      </x:c>
      <x:c r="L353" s="14" t="n">
        <x:v>1</x:v>
      </x:c>
      <x:c r="M353" t="str">
        <x:v>READY</x:v>
      </x:c>
      <x:c r="N353" t="str">
        <x:v>AKTIF</x:v>
      </x:c>
      <x:c r="O353" t="str"/>
      <x:c r="P353" t="str"/>
      <x:c r="Q353" t="str"/>
      <x:c r="R353" t="str"/>
      <x:c r="S353" t="str"/>
      <x:c r="T353" t="str"/>
      <x:c r="U353" s="18" t="n">
        <x:v>46134.041666666664</x:v>
      </x:c>
      <x:c r="V353" t="str">
        <x:v>INITIAL_IMPORT</x:v>
      </x:c>
    </x:row>
    <x:row r="354">
      <x:c r="A354" t="str">
        <x:v>PRD-JVS-0353</x:v>
      </x:c>
      <x:c r="B354" t="str">
        <x:v>JVS-0353</x:v>
      </x:c>
      <x:c r="C354" t="str">
        <x:v>Kiprok / Regulator Vespa Kaki 3 Lokal</x:v>
      </x:c>
      <x:c r="D354" t="str">
        <x:v>Kelistrikan</x:v>
      </x:c>
      <x:c r="E354" t="str"/>
      <x:c r="F354" t="str"/>
      <x:c r="G354" s="12" t="n">
        <x:v>55</x:v>
      </x:c>
      <x:c r="H354" s="12" t="n">
        <x:v>55</x:v>
      </x:c>
      <x:c r="I354" s="12" t="n">
        <x:v>0</x:v>
      </x:c>
      <x:c r="J354" s="16" t="n">
        <x:v>0</x:v>
      </x:c>
      <x:c r="K354" s="14" t="n">
        <x:v>0</x:v>
      </x:c>
      <x:c r="L354" s="14" t="n">
        <x:v>1</x:v>
      </x:c>
      <x:c r="M354" t="str">
        <x:v>OUT OF STOCK</x:v>
      </x:c>
      <x:c r="N354" t="str">
        <x:v>AKTIF</x:v>
      </x:c>
      <x:c r="O354" t="str"/>
      <x:c r="P354" t="str"/>
      <x:c r="Q354" t="str"/>
      <x:c r="R354" t="str"/>
      <x:c r="S354" t="str"/>
      <x:c r="T354" t="str"/>
      <x:c r="U354" s="18" t="n">
        <x:v>46134.041666666664</x:v>
      </x:c>
      <x:c r="V354" t="str">
        <x:v>INITIAL_IMPORT</x:v>
      </x:c>
    </x:row>
    <x:row r="355">
      <x:c r="A355" t="str">
        <x:v>PRD-JVS-0354</x:v>
      </x:c>
      <x:c r="B355" t="str">
        <x:v>JVS-0354</x:v>
      </x:c>
      <x:c r="C355" t="str">
        <x:v>Kiprok Nmax KNZ</x:v>
      </x:c>
      <x:c r="D355" t="str">
        <x:v>Kelistrikan</x:v>
      </x:c>
      <x:c r="E355" t="str"/>
      <x:c r="F355" t="str"/>
      <x:c r="G355" s="12" t="n">
        <x:v>85</x:v>
      </x:c>
      <x:c r="H355" s="12" t="n">
        <x:v>85</x:v>
      </x:c>
      <x:c r="I355" s="12" t="n">
        <x:v>0</x:v>
      </x:c>
      <x:c r="J355" s="16" t="n">
        <x:v>0</x:v>
      </x:c>
      <x:c r="K355" s="14" t="n">
        <x:v>0</x:v>
      </x:c>
      <x:c r="L355" s="14" t="n">
        <x:v>1</x:v>
      </x:c>
      <x:c r="M355" t="str">
        <x:v>OUT OF STOCK</x:v>
      </x:c>
      <x:c r="N355" t="str">
        <x:v>AKTIF</x:v>
      </x:c>
      <x:c r="O355" t="str"/>
      <x:c r="P355" t="str"/>
      <x:c r="Q355" t="str"/>
      <x:c r="R355" t="str"/>
      <x:c r="S355" t="str"/>
      <x:c r="T355" t="str"/>
      <x:c r="U355" s="18" t="n">
        <x:v>46134.041666666664</x:v>
      </x:c>
      <x:c r="V355" t="str">
        <x:v>INITIAL_IMPORT</x:v>
      </x:c>
    </x:row>
    <x:row r="356">
      <x:c r="A356" t="str">
        <x:v>PRD-JVS-0355</x:v>
      </x:c>
      <x:c r="B356" t="str">
        <x:v>JVS-0355</x:v>
      </x:c>
      <x:c r="C356" t="str">
        <x:v>Klakson Vespa PX PS 12 volt</x:v>
      </x:c>
      <x:c r="D356" t="str">
        <x:v>Aksesoris</x:v>
      </x:c>
      <x:c r="E356" t="str">
        <x:v>PX, PS</x:v>
      </x:c>
      <x:c r="F356" t="str"/>
      <x:c r="G356" s="12" t="n">
        <x:v>60</x:v>
      </x:c>
      <x:c r="H356" s="12" t="n">
        <x:v>60</x:v>
      </x:c>
      <x:c r="I356" s="12" t="n">
        <x:v>0</x:v>
      </x:c>
      <x:c r="J356" s="16" t="n">
        <x:v>0</x:v>
      </x:c>
      <x:c r="K356" s="14" t="n">
        <x:v>2</x:v>
      </x:c>
      <x:c r="L356" s="14" t="n">
        <x:v>1</x:v>
      </x:c>
      <x:c r="M356" t="str">
        <x:v>READY</x:v>
      </x:c>
      <x:c r="N356" t="str">
        <x:v>AKTIF</x:v>
      </x:c>
      <x:c r="O356" t="str"/>
      <x:c r="P356" t="str"/>
      <x:c r="Q356" t="str"/>
      <x:c r="R356" t="str"/>
      <x:c r="S356" t="str"/>
      <x:c r="T356" t="str"/>
      <x:c r="U356" s="18" t="n">
        <x:v>46134.041666666664</x:v>
      </x:c>
      <x:c r="V356" t="str">
        <x:v>INITIAL_IMPORT</x:v>
      </x:c>
    </x:row>
    <x:row r="357">
      <x:c r="A357" t="str">
        <x:v>PRD-JVS-0356</x:v>
      </x:c>
      <x:c r="B357" t="str">
        <x:v>JVS-0356</x:v>
      </x:c>
      <x:c r="C357" t="str">
        <x:v>Klakson Vespa Super Sprint Bajaj 6 volt</x:v>
      </x:c>
      <x:c r="D357" t="str">
        <x:v>Servis</x:v>
      </x:c>
      <x:c r="E357" t="str">
        <x:v>SUPER, SPRINT, BAJAJ</x:v>
      </x:c>
      <x:c r="F357" t="str"/>
      <x:c r="G357" s="12" t="n">
        <x:v>60</x:v>
      </x:c>
      <x:c r="H357" s="12" t="n">
        <x:v>60</x:v>
      </x:c>
      <x:c r="I357" s="12" t="n">
        <x:v>0</x:v>
      </x:c>
      <x:c r="J357" s="16" t="n">
        <x:v>0</x:v>
      </x:c>
      <x:c r="K357" s="14" t="n">
        <x:v>3</x:v>
      </x:c>
      <x:c r="L357" s="14" t="n">
        <x:v>1</x:v>
      </x:c>
      <x:c r="M357" t="str">
        <x:v>READY</x:v>
      </x:c>
      <x:c r="N357" t="str">
        <x:v>AKTIF</x:v>
      </x:c>
      <x:c r="O357" t="str"/>
      <x:c r="P357" t="str"/>
      <x:c r="Q357" t="str"/>
      <x:c r="R357" t="str"/>
      <x:c r="S357" t="str"/>
      <x:c r="T357" t="str"/>
      <x:c r="U357" s="18" t="n">
        <x:v>46134.041666666664</x:v>
      </x:c>
      <x:c r="V357" t="str">
        <x:v>INITIAL_IMPORT</x:v>
      </x:c>
    </x:row>
    <x:row r="358">
      <x:c r="A358" t="str">
        <x:v>PRD-JVS-0357</x:v>
      </x:c>
      <x:c r="B358" t="str">
        <x:v>JVS-0357</x:v>
      </x:c>
      <x:c r="C358" t="str">
        <x:v>Klem Jepit Selang Bensin Vespa Model Kupu Kupu</x:v>
      </x:c>
      <x:c r="D358" t="str">
        <x:v>Servis</x:v>
      </x:c>
      <x:c r="E358" t="str"/>
      <x:c r="F358" t="str"/>
      <x:c r="G358" s="12" t="str"/>
      <x:c r="H358" s="12" t="str"/>
      <x:c r="I358" s="12" t="str"/>
      <x:c r="J358" s="16" t="str"/>
      <x:c r="K358" s="14" t="n">
        <x:v>7</x:v>
      </x:c>
      <x:c r="L358" s="14" t="n">
        <x:v>1</x:v>
      </x:c>
      <x:c r="M358" t="str">
        <x:v>READY</x:v>
      </x:c>
      <x:c r="N358" t="str">
        <x:v>AKTIF</x:v>
      </x:c>
      <x:c r="O358" t="str"/>
      <x:c r="P358" t="str"/>
      <x:c r="Q358" t="str"/>
      <x:c r="R358" t="str"/>
      <x:c r="S358" t="str"/>
      <x:c r="T358" t="str"/>
      <x:c r="U358" s="18" t="n">
        <x:v>46134.041666666664</x:v>
      </x:c>
      <x:c r="V358" t="str">
        <x:v>INITIAL_IMPORT</x:v>
      </x:c>
    </x:row>
    <x:row r="359">
      <x:c r="A359" t="str">
        <x:v>PRD-JVS-0358</x:v>
      </x:c>
      <x:c r="B359" t="str">
        <x:v>JVS-0358</x:v>
      </x:c>
      <x:c r="C359" t="str">
        <x:v>Klem Knalpot Puring Vespa Universal</x:v>
      </x:c>
      <x:c r="D359" t="str">
        <x:v>Servis</x:v>
      </x:c>
      <x:c r="E359" t="str"/>
      <x:c r="F359" t="str"/>
      <x:c r="G359" s="12" t="n">
        <x:v>25</x:v>
      </x:c>
      <x:c r="H359" s="12" t="n">
        <x:v>25</x:v>
      </x:c>
      <x:c r="I359" s="12" t="n">
        <x:v>0</x:v>
      </x:c>
      <x:c r="J359" s="16" t="n">
        <x:v>0</x:v>
      </x:c>
      <x:c r="K359" s="14" t="n">
        <x:v>4</x:v>
      </x:c>
      <x:c r="L359" s="14" t="n">
        <x:v>1</x:v>
      </x:c>
      <x:c r="M359" t="str">
        <x:v>READY</x:v>
      </x:c>
      <x:c r="N359" t="str">
        <x:v>AKTIF</x:v>
      </x:c>
      <x:c r="O359" t="str"/>
      <x:c r="P359" t="str"/>
      <x:c r="Q359" t="str"/>
      <x:c r="R359" t="str"/>
      <x:c r="S359" t="str"/>
      <x:c r="T359" t="str"/>
      <x:c r="U359" s="18" t="n">
        <x:v>46134.041666666664</x:v>
      </x:c>
      <x:c r="V359" t="str">
        <x:v>INITIAL_IMPORT</x:v>
      </x:c>
    </x:row>
    <x:row r="360">
      <x:c r="A360" t="str">
        <x:v>PRD-JVS-0359</x:v>
      </x:c>
      <x:c r="B360" t="str">
        <x:v>JVS-0359</x:v>
      </x:c>
      <x:c r="C360" t="str">
        <x:v>Klem Plat Standar Tengah Model Vespa PX</x:v>
      </x:c>
      <x:c r="D360" t="str">
        <x:v>Kaki-Kaki</x:v>
      </x:c>
      <x:c r="E360" t="str">
        <x:v>PX</x:v>
      </x:c>
      <x:c r="F360" t="str"/>
      <x:c r="G360" s="12" t="n">
        <x:v>30</x:v>
      </x:c>
      <x:c r="H360" s="12" t="n">
        <x:v>30</x:v>
      </x:c>
      <x:c r="I360" s="12" t="n">
        <x:v>0</x:v>
      </x:c>
      <x:c r="J360" s="16" t="n">
        <x:v>0</x:v>
      </x:c>
      <x:c r="K360" s="14" t="n">
        <x:v>4</x:v>
      </x:c>
      <x:c r="L360" s="14" t="n">
        <x:v>1</x:v>
      </x:c>
      <x:c r="M360" t="str">
        <x:v>READY</x:v>
      </x:c>
      <x:c r="N360" t="str">
        <x:v>AKTIF</x:v>
      </x:c>
      <x:c r="O360" t="str"/>
      <x:c r="P360" t="str"/>
      <x:c r="Q360" t="str"/>
      <x:c r="R360" t="str"/>
      <x:c r="S360" t="str"/>
      <x:c r="T360" t="str"/>
      <x:c r="U360" s="18" t="n">
        <x:v>46134.041666666664</x:v>
      </x:c>
      <x:c r="V360" t="str">
        <x:v>INITIAL_IMPORT</x:v>
      </x:c>
    </x:row>
    <x:row r="361">
      <x:c r="A361" t="str">
        <x:v>PRD-JVS-0360</x:v>
      </x:c>
      <x:c r="B361" t="str">
        <x:v>JVS-0360</x:v>
      </x:c>
      <x:c r="C361" t="str">
        <x:v>Klem Plat Standar Tengah Model Vespa Super</x:v>
      </x:c>
      <x:c r="D361" t="str">
        <x:v>Kaki-Kaki</x:v>
      </x:c>
      <x:c r="E361" t="str">
        <x:v>SUPER</x:v>
      </x:c>
      <x:c r="F361" t="str"/>
      <x:c r="G361" s="12" t="n">
        <x:v>25</x:v>
      </x:c>
      <x:c r="H361" s="12" t="n">
        <x:v>25</x:v>
      </x:c>
      <x:c r="I361" s="12" t="n">
        <x:v>0</x:v>
      </x:c>
      <x:c r="J361" s="16" t="n">
        <x:v>0</x:v>
      </x:c>
      <x:c r="K361" s="14" t="n">
        <x:v>3</x:v>
      </x:c>
      <x:c r="L361" s="14" t="n">
        <x:v>1</x:v>
      </x:c>
      <x:c r="M361" t="str">
        <x:v>READY</x:v>
      </x:c>
      <x:c r="N361" t="str">
        <x:v>AKTIF</x:v>
      </x:c>
      <x:c r="O361" t="str"/>
      <x:c r="P361" t="str"/>
      <x:c r="Q361" t="str"/>
      <x:c r="R361" t="str"/>
      <x:c r="S361" t="str"/>
      <x:c r="T361" t="str"/>
      <x:c r="U361" s="18" t="n">
        <x:v>46134.041666666664</x:v>
      </x:c>
      <x:c r="V361" t="str">
        <x:v>INITIAL_IMPORT</x:v>
      </x:c>
    </x:row>
    <x:row r="362">
      <x:c r="A362" t="str">
        <x:v>PRD-JVS-0361</x:v>
      </x:c>
      <x:c r="B362" t="str">
        <x:v>JVS-0361</x:v>
      </x:c>
      <x:c r="C362" t="str">
        <x:v>Klip Pengunci Kopling Peer 6</x:v>
      </x:c>
      <x:c r="D362" t="str">
        <x:v>Mesin</x:v>
      </x:c>
      <x:c r="E362" t="str"/>
      <x:c r="F362" t="str"/>
      <x:c r="G362" s="12" t="n">
        <x:v>5</x:v>
      </x:c>
      <x:c r="H362" s="12" t="n">
        <x:v>5</x:v>
      </x:c>
      <x:c r="I362" s="12" t="n">
        <x:v>0</x:v>
      </x:c>
      <x:c r="J362" s="16" t="n">
        <x:v>0</x:v>
      </x:c>
      <x:c r="K362" s="14" t="n">
        <x:v>5</x:v>
      </x:c>
      <x:c r="L362" s="14" t="n">
        <x:v>1</x:v>
      </x:c>
      <x:c r="M362" t="str">
        <x:v>READY</x:v>
      </x:c>
      <x:c r="N362" t="str">
        <x:v>AKTIF</x:v>
      </x:c>
      <x:c r="O362" t="str"/>
      <x:c r="P362" t="str"/>
      <x:c r="Q362" t="str"/>
      <x:c r="R362" t="str"/>
      <x:c r="S362" t="str"/>
      <x:c r="T362" t="str"/>
      <x:c r="U362" s="18" t="n">
        <x:v>46134.041666666664</x:v>
      </x:c>
      <x:c r="V362" t="str">
        <x:v>INITIAL_IMPORT</x:v>
      </x:c>
    </x:row>
    <x:row r="363">
      <x:c r="A363" t="str">
        <x:v>PRD-JVS-0362</x:v>
      </x:c>
      <x:c r="B363" t="str">
        <x:v>JVS-0362</x:v>
      </x:c>
      <x:c r="C363" t="str">
        <x:v>Klip Pengunci Kopling Peer 7</x:v>
      </x:c>
      <x:c r="D363" t="str">
        <x:v>Mesin</x:v>
      </x:c>
      <x:c r="E363" t="str"/>
      <x:c r="F363" t="str"/>
      <x:c r="G363" s="12" t="n">
        <x:v>7</x:v>
      </x:c>
      <x:c r="H363" s="12" t="n">
        <x:v>7</x:v>
      </x:c>
      <x:c r="I363" s="12" t="n">
        <x:v>0</x:v>
      </x:c>
      <x:c r="J363" s="16" t="n">
        <x:v>0</x:v>
      </x:c>
      <x:c r="K363" s="14" t="n">
        <x:v>17</x:v>
      </x:c>
      <x:c r="L363" s="14" t="n">
        <x:v>1</x:v>
      </x:c>
      <x:c r="M363" t="str">
        <x:v>READY</x:v>
      </x:c>
      <x:c r="N363" t="str">
        <x:v>AKTIF</x:v>
      </x:c>
      <x:c r="O363" t="str"/>
      <x:c r="P363" t="str"/>
      <x:c r="Q363" t="str"/>
      <x:c r="R363" t="str"/>
      <x:c r="S363" t="str"/>
      <x:c r="T363" t="str"/>
      <x:c r="U363" s="18" t="n">
        <x:v>46134.041666666664</x:v>
      </x:c>
      <x:c r="V363" t="str">
        <x:v>INITIAL_IMPORT</x:v>
      </x:c>
    </x:row>
    <x:row r="364">
      <x:c r="A364" t="str">
        <x:v>PRD-JVS-0363</x:v>
      </x:c>
      <x:c r="B364" t="str">
        <x:v>JVS-0363</x:v>
      </x:c>
      <x:c r="C364" t="str">
        <x:v>Klip Ring Pengunci Sabuk Kopling model tutup BGM vespa per 6</x:v>
      </x:c>
      <x:c r="D364" t="str">
        <x:v>Mesin</x:v>
      </x:c>
      <x:c r="E364" t="str"/>
      <x:c r="F364" t="str"/>
      <x:c r="G364" s="12" t="n">
        <x:v>65</x:v>
      </x:c>
      <x:c r="H364" s="12" t="n">
        <x:v>65</x:v>
      </x:c>
      <x:c r="I364" s="12" t="n">
        <x:v>0</x:v>
      </x:c>
      <x:c r="J364" s="16" t="n">
        <x:v>0</x:v>
      </x:c>
      <x:c r="K364" s="14" t="n">
        <x:v>2</x:v>
      </x:c>
      <x:c r="L364" s="14" t="n">
        <x:v>1</x:v>
      </x:c>
      <x:c r="M364" t="str">
        <x:v>READY</x:v>
      </x:c>
      <x:c r="N364" t="str">
        <x:v>AKTIF</x:v>
      </x:c>
      <x:c r="O364" t="str"/>
      <x:c r="P364" t="str"/>
      <x:c r="Q364" t="str"/>
      <x:c r="R364" t="str"/>
      <x:c r="S364" t="str"/>
      <x:c r="T364" t="str"/>
      <x:c r="U364" s="18" t="n">
        <x:v>46134.041666666664</x:v>
      </x:c>
      <x:c r="V364" t="str">
        <x:v>INITIAL_IMPORT</x:v>
      </x:c>
    </x:row>
    <x:row r="365">
      <x:c r="A365" t="str">
        <x:v>PRD-JVS-0364</x:v>
      </x:c>
      <x:c r="B365" t="str">
        <x:v>JVS-0364</x:v>
      </x:c>
      <x:c r="C365" t="str">
        <x:v>Klip Ring Pengunci Sabuk Kopling model tutup BGM vespa per 7</x:v>
      </x:c>
      <x:c r="D365" t="str">
        <x:v>Mesin</x:v>
      </x:c>
      <x:c r="E365" t="str"/>
      <x:c r="F365" t="str"/>
      <x:c r="G365" s="12" t="n">
        <x:v>65</x:v>
      </x:c>
      <x:c r="H365" s="12" t="n">
        <x:v>65</x:v>
      </x:c>
      <x:c r="I365" s="12" t="n">
        <x:v>0</x:v>
      </x:c>
      <x:c r="J365" s="16" t="n">
        <x:v>0</x:v>
      </x:c>
      <x:c r="K365" s="14" t="n">
        <x:v>6</x:v>
      </x:c>
      <x:c r="L365" s="14" t="n">
        <x:v>1</x:v>
      </x:c>
      <x:c r="M365" t="str">
        <x:v>READY</x:v>
      </x:c>
      <x:c r="N365" t="str">
        <x:v>AKTIF</x:v>
      </x:c>
      <x:c r="O365" t="str"/>
      <x:c r="P365" t="str"/>
      <x:c r="Q365" t="str"/>
      <x:c r="R365" t="str"/>
      <x:c r="S365" t="str"/>
      <x:c r="T365" t="str"/>
      <x:c r="U365" s="18" t="n">
        <x:v>46134.041666666664</x:v>
      </x:c>
      <x:c r="V365" t="str">
        <x:v>INITIAL_IMPORT</x:v>
      </x:c>
    </x:row>
    <x:row r="366">
      <x:c r="A366" t="str">
        <x:v>PRD-JVS-0365</x:v>
      </x:c>
      <x:c r="B366" t="str">
        <x:v>JVS-0365</x:v>
      </x:c>
      <x:c r="C366" t="str">
        <x:v>Knalpot DGM Taiwan</x:v>
      </x:c>
      <x:c r="D366" t="str">
        <x:v>Aksesoris</x:v>
      </x:c>
      <x:c r="E366" t="str"/>
      <x:c r="F366" t="str"/>
      <x:c r="G366" s="12" t="n">
        <x:v>385</x:v>
      </x:c>
      <x:c r="H366" s="12" t="n">
        <x:v>385</x:v>
      </x:c>
      <x:c r="I366" s="12" t="n">
        <x:v>0</x:v>
      </x:c>
      <x:c r="J366" s="16" t="n">
        <x:v>0</x:v>
      </x:c>
      <x:c r="K366" s="14" t="n">
        <x:v>0</x:v>
      </x:c>
      <x:c r="L366" s="14" t="n">
        <x:v>1</x:v>
      </x:c>
      <x:c r="M366" t="str">
        <x:v>OUT OF STOCK</x:v>
      </x:c>
      <x:c r="N366" t="str">
        <x:v>AKTIF</x:v>
      </x:c>
      <x:c r="O366" t="str"/>
      <x:c r="P366" t="str"/>
      <x:c r="Q366" t="str"/>
      <x:c r="R366" t="str"/>
      <x:c r="S366" t="str"/>
      <x:c r="T366" t="str"/>
      <x:c r="U366" s="18" t="n">
        <x:v>46134.041666666664</x:v>
      </x:c>
      <x:c r="V366" t="str">
        <x:v>INITIAL_IMPORT</x:v>
      </x:c>
    </x:row>
    <x:row r="367">
      <x:c r="A367" t="str">
        <x:v>PRD-JVS-0366</x:v>
      </x:c>
      <x:c r="B367" t="str">
        <x:v>JVS-0366</x:v>
      </x:c>
      <x:c r="C367" t="str">
        <x:v>Knalpot DRC standar</x:v>
      </x:c>
      <x:c r="D367" t="str">
        <x:v>Kaki-Kaki</x:v>
      </x:c>
      <x:c r="E367" t="str"/>
      <x:c r="F367" t="str"/>
      <x:c r="G367" s="12" t="n">
        <x:v>140</x:v>
      </x:c>
      <x:c r="H367" s="12" t="n">
        <x:v>140</x:v>
      </x:c>
      <x:c r="I367" s="12" t="n">
        <x:v>0</x:v>
      </x:c>
      <x:c r="J367" s="16" t="n">
        <x:v>0</x:v>
      </x:c>
      <x:c r="K367" s="14" t="n">
        <x:v>0</x:v>
      </x:c>
      <x:c r="L367" s="14" t="n">
        <x:v>1</x:v>
      </x:c>
      <x:c r="M367" t="str">
        <x:v>OUT OF STOCK</x:v>
      </x:c>
      <x:c r="N367" t="str">
        <x:v>AKTIF</x:v>
      </x:c>
      <x:c r="O367" t="str"/>
      <x:c r="P367" t="str"/>
      <x:c r="Q367" t="str"/>
      <x:c r="R367" t="str"/>
      <x:c r="S367" t="str"/>
      <x:c r="T367" t="str"/>
      <x:c r="U367" s="18" t="n">
        <x:v>46134.041666666664</x:v>
      </x:c>
      <x:c r="V367" t="str">
        <x:v>INITIAL_IMPORT</x:v>
      </x:c>
    </x:row>
    <x:row r="368">
      <x:c r="A368" t="str">
        <x:v>PRD-JVS-0367</x:v>
      </x:c>
      <x:c r="B368" t="str">
        <x:v>JVS-0367</x:v>
      </x:c>
      <x:c r="C368" t="str">
        <x:v>Koil A100 CDI SGP</x:v>
      </x:c>
      <x:c r="D368" t="str">
        <x:v>Kelistrikan</x:v>
      </x:c>
      <x:c r="E368" t="str"/>
      <x:c r="F368" t="str"/>
      <x:c r="G368" s="12" t="n">
        <x:v>65</x:v>
      </x:c>
      <x:c r="H368" s="12" t="n">
        <x:v>65</x:v>
      </x:c>
      <x:c r="I368" s="12" t="n">
        <x:v>0</x:v>
      </x:c>
      <x:c r="J368" s="16" t="n">
        <x:v>0</x:v>
      </x:c>
      <x:c r="K368" s="14" t="n">
        <x:v>0</x:v>
      </x:c>
      <x:c r="L368" s="14" t="n">
        <x:v>1</x:v>
      </x:c>
      <x:c r="M368" t="str">
        <x:v>OUT OF STOCK</x:v>
      </x:c>
      <x:c r="N368" t="str">
        <x:v>AKTIF</x:v>
      </x:c>
      <x:c r="O368" t="str"/>
      <x:c r="P368" t="str"/>
      <x:c r="Q368" t="str"/>
      <x:c r="R368" t="str"/>
      <x:c r="S368" t="str"/>
      <x:c r="T368" t="str"/>
      <x:c r="U368" s="18" t="n">
        <x:v>46134.041666666664</x:v>
      </x:c>
      <x:c r="V368" t="str">
        <x:v>INITIAL_IMPORT</x:v>
      </x:c>
    </x:row>
    <x:row r="369">
      <x:c r="A369" t="str">
        <x:v>PRD-JVS-0368</x:v>
      </x:c>
      <x:c r="B369" t="str">
        <x:v>JVS-0368</x:v>
      </x:c>
      <x:c r="C369" t="str">
        <x:v>Koil PX Original Danmotor</x:v>
      </x:c>
      <x:c r="D369" t="str">
        <x:v>Aksesoris</x:v>
      </x:c>
      <x:c r="E369" t="str">
        <x:v>PX</x:v>
      </x:c>
      <x:c r="F369" t="str"/>
      <x:c r="G369" s="12" t="n">
        <x:v>160</x:v>
      </x:c>
      <x:c r="H369" s="12" t="n">
        <x:v>160</x:v>
      </x:c>
      <x:c r="I369" s="12" t="n">
        <x:v>0</x:v>
      </x:c>
      <x:c r="J369" s="16" t="n">
        <x:v>0</x:v>
      </x:c>
      <x:c r="K369" s="14" t="n">
        <x:v>0</x:v>
      </x:c>
      <x:c r="L369" s="14" t="n">
        <x:v>1</x:v>
      </x:c>
      <x:c r="M369" t="str">
        <x:v>OUT OF STOCK</x:v>
      </x:c>
      <x:c r="N369" t="str">
        <x:v>AKTIF</x:v>
      </x:c>
      <x:c r="O369" t="str"/>
      <x:c r="P369" t="str"/>
      <x:c r="Q369" t="str"/>
      <x:c r="R369" t="str"/>
      <x:c r="S369" t="str"/>
      <x:c r="T369" t="str"/>
      <x:c r="U369" s="18" t="n">
        <x:v>46134.041666666664</x:v>
      </x:c>
      <x:c r="V369" t="str">
        <x:v>INITIAL_IMPORT</x:v>
      </x:c>
    </x:row>
    <x:row r="370">
      <x:c r="A370" t="str">
        <x:v>PRD-JVS-0369</x:v>
      </x:c>
      <x:c r="B370" t="str">
        <x:v>JVS-0369</x:v>
      </x:c>
      <x:c r="C370" t="str">
        <x:v>Koil Vespa Excel Danmotor</x:v>
      </x:c>
      <x:c r="D370" t="str">
        <x:v>Aksesoris</x:v>
      </x:c>
      <x:c r="E370" t="str">
        <x:v>EXCEL</x:v>
      </x:c>
      <x:c r="F370" t="str"/>
      <x:c r="G370" s="12" t="n">
        <x:v>160</x:v>
      </x:c>
      <x:c r="H370" s="12" t="n">
        <x:v>160</x:v>
      </x:c>
      <x:c r="I370" s="12" t="n">
        <x:v>0</x:v>
      </x:c>
      <x:c r="J370" s="16" t="n">
        <x:v>0</x:v>
      </x:c>
      <x:c r="K370" s="14" t="n">
        <x:v>1</x:v>
      </x:c>
      <x:c r="L370" s="14" t="n">
        <x:v>1</x:v>
      </x:c>
      <x:c r="M370" t="str">
        <x:v>LOW</x:v>
      </x:c>
      <x:c r="N370" t="str">
        <x:v>AKTIF</x:v>
      </x:c>
      <x:c r="O370" t="str"/>
      <x:c r="P370" t="str"/>
      <x:c r="Q370" t="str"/>
      <x:c r="R370" t="str"/>
      <x:c r="S370" t="str"/>
      <x:c r="T370" t="str"/>
      <x:c r="U370" s="18" t="n">
        <x:v>46134.041666666664</x:v>
      </x:c>
      <x:c r="V370" t="str">
        <x:v>INITIAL_IMPORT</x:v>
      </x:c>
    </x:row>
    <x:row r="371">
      <x:c r="A371" t="str">
        <x:v>PRD-JVS-0370</x:v>
      </x:c>
      <x:c r="B371" t="str">
        <x:v>JVS-0370</x:v>
      </x:c>
      <x:c r="C371" t="str">
        <x:v>Koil Vespa Excel KGD Taiwan</x:v>
      </x:c>
      <x:c r="D371" t="str">
        <x:v>Aksesoris</x:v>
      </x:c>
      <x:c r="E371" t="str">
        <x:v>EXCEL</x:v>
      </x:c>
      <x:c r="F371" t="str"/>
      <x:c r="G371" s="12" t="n">
        <x:v>85</x:v>
      </x:c>
      <x:c r="H371" s="12" t="n">
        <x:v>85</x:v>
      </x:c>
      <x:c r="I371" s="12" t="n">
        <x:v>0</x:v>
      </x:c>
      <x:c r="J371" s="16" t="n">
        <x:v>0</x:v>
      </x:c>
      <x:c r="K371" s="14" t="n">
        <x:v>1</x:v>
      </x:c>
      <x:c r="L371" s="14" t="n">
        <x:v>1</x:v>
      </x:c>
      <x:c r="M371" t="str">
        <x:v>LOW</x:v>
      </x:c>
      <x:c r="N371" t="str">
        <x:v>AKTIF</x:v>
      </x:c>
      <x:c r="O371" t="str"/>
      <x:c r="P371" t="str"/>
      <x:c r="Q371" t="str"/>
      <x:c r="R371" t="str"/>
      <x:c r="S371" t="str"/>
      <x:c r="T371" t="str"/>
      <x:c r="U371" s="18" t="n">
        <x:v>46134.041666666664</x:v>
      </x:c>
      <x:c r="V371" t="str">
        <x:v>INITIAL_IMPORT</x:v>
      </x:c>
    </x:row>
    <x:row r="372">
      <x:c r="A372" t="str">
        <x:v>PRD-JVS-0371</x:v>
      </x:c>
      <x:c r="B372" t="str">
        <x:v>JVS-0371</x:v>
      </x:c>
      <x:c r="C372" t="str">
        <x:v>Koil Vespa Model PX Taiwan</x:v>
      </x:c>
      <x:c r="D372" t="str">
        <x:v>Aksesoris</x:v>
      </x:c>
      <x:c r="E372" t="str">
        <x:v>PX</x:v>
      </x:c>
      <x:c r="F372" t="str"/>
      <x:c r="G372" s="12" t="n">
        <x:v>85</x:v>
      </x:c>
      <x:c r="H372" s="12" t="n">
        <x:v>85</x:v>
      </x:c>
      <x:c r="I372" s="12" t="n">
        <x:v>0</x:v>
      </x:c>
      <x:c r="J372" s="16" t="n">
        <x:v>0</x:v>
      </x:c>
      <x:c r="K372" s="14" t="n">
        <x:v>2</x:v>
      </x:c>
      <x:c r="L372" s="14" t="n">
        <x:v>1</x:v>
      </x:c>
      <x:c r="M372" t="str">
        <x:v>READY</x:v>
      </x:c>
      <x:c r="N372" t="str">
        <x:v>AKTIF</x:v>
      </x:c>
      <x:c r="O372" t="str"/>
      <x:c r="P372" t="str"/>
      <x:c r="Q372" t="str"/>
      <x:c r="R372" t="str"/>
      <x:c r="S372" t="str"/>
      <x:c r="T372" t="str"/>
      <x:c r="U372" s="18" t="n">
        <x:v>46134.041666666664</x:v>
      </x:c>
      <x:c r="V372" t="str">
        <x:v>INITIAL_IMPORT</x:v>
      </x:c>
    </x:row>
    <x:row r="373">
      <x:c r="A373" t="str">
        <x:v>PRD-JVS-0372</x:v>
      </x:c>
      <x:c r="B373" t="str">
        <x:v>JVS-0372</x:v>
      </x:c>
      <x:c r="C373" t="str">
        <x:v>Koil Vespa Super Lokal Vitalia</x:v>
      </x:c>
      <x:c r="D373" t="str">
        <x:v>Servis</x:v>
      </x:c>
      <x:c r="E373" t="str">
        <x:v>SUPER</x:v>
      </x:c>
      <x:c r="F373" t="str"/>
      <x:c r="G373" s="12" t="n">
        <x:v>78</x:v>
      </x:c>
      <x:c r="H373" s="12" t="n">
        <x:v>78</x:v>
      </x:c>
      <x:c r="I373" s="12" t="n">
        <x:v>0</x:v>
      </x:c>
      <x:c r="J373" s="16" t="n">
        <x:v>0</x:v>
      </x:c>
      <x:c r="K373" s="14" t="n">
        <x:v>0</x:v>
      </x:c>
      <x:c r="L373" s="14" t="n">
        <x:v>1</x:v>
      </x:c>
      <x:c r="M373" t="str">
        <x:v>OUT OF STOCK</x:v>
      </x:c>
      <x:c r="N373" t="str">
        <x:v>AKTIF</x:v>
      </x:c>
      <x:c r="O373" t="str"/>
      <x:c r="P373" t="str"/>
      <x:c r="Q373" t="str"/>
      <x:c r="R373" t="str"/>
      <x:c r="S373" t="str"/>
      <x:c r="T373" t="str"/>
      <x:c r="U373" s="18" t="n">
        <x:v>46134.041666666664</x:v>
      </x:c>
      <x:c r="V373" t="str">
        <x:v>INITIAL_IMPORT</x:v>
      </x:c>
    </x:row>
    <x:row r="374">
      <x:c r="A374" t="str">
        <x:v>PRD-JVS-0373</x:v>
      </x:c>
      <x:c r="B374" t="str">
        <x:v>JVS-0373</x:v>
      </x:c>
      <x:c r="C374" t="str">
        <x:v>Komstir Set Laher Atas Bawah Vespa Import</x:v>
      </x:c>
      <x:c r="D374" t="str">
        <x:v>Kaki-Kaki</x:v>
      </x:c>
      <x:c r="E374" t="str"/>
      <x:c r="F374" t="str"/>
      <x:c r="G374" s="12" t="n">
        <x:v>75</x:v>
      </x:c>
      <x:c r="H374" s="12" t="n">
        <x:v>75</x:v>
      </x:c>
      <x:c r="I374" s="12" t="n">
        <x:v>0</x:v>
      </x:c>
      <x:c r="J374" s="16" t="n">
        <x:v>0</x:v>
      </x:c>
      <x:c r="K374" s="14" t="n">
        <x:v>1</x:v>
      </x:c>
      <x:c r="L374" s="14" t="n">
        <x:v>1</x:v>
      </x:c>
      <x:c r="M374" t="str">
        <x:v>LOW</x:v>
      </x:c>
      <x:c r="N374" t="str">
        <x:v>AKTIF</x:v>
      </x:c>
      <x:c r="O374" t="str"/>
      <x:c r="P374" t="str"/>
      <x:c r="Q374" t="str"/>
      <x:c r="R374" t="str"/>
      <x:c r="S374" t="str"/>
      <x:c r="T374" t="str"/>
      <x:c r="U374" s="18" t="n">
        <x:v>46134.041666666664</x:v>
      </x:c>
      <x:c r="V374" t="str">
        <x:v>INITIAL_IMPORT</x:v>
      </x:c>
    </x:row>
    <x:row r="375">
      <x:c r="A375" t="str">
        <x:v>PRD-JVS-0374</x:v>
      </x:c>
      <x:c r="B375" t="str">
        <x:v>JVS-0374</x:v>
      </x:c>
      <x:c r="C375" t="str">
        <x:v>Kondensor Dalam Vespa PX</x:v>
      </x:c>
      <x:c r="D375" t="str">
        <x:v>Aksesoris</x:v>
      </x:c>
      <x:c r="E375" t="str">
        <x:v>PX</x:v>
      </x:c>
      <x:c r="F375" t="str"/>
      <x:c r="G375" s="12" t="n">
        <x:v>15</x:v>
      </x:c>
      <x:c r="H375" s="12" t="n">
        <x:v>15</x:v>
      </x:c>
      <x:c r="I375" s="12" t="n">
        <x:v>0</x:v>
      </x:c>
      <x:c r="J375" s="16" t="n">
        <x:v>0</x:v>
      </x:c>
      <x:c r="K375" s="14" t="n">
        <x:v>5</x:v>
      </x:c>
      <x:c r="L375" s="14" t="n">
        <x:v>1</x:v>
      </x:c>
      <x:c r="M375" t="str">
        <x:v>READY</x:v>
      </x:c>
      <x:c r="N375" t="str">
        <x:v>AKTIF</x:v>
      </x:c>
      <x:c r="O375" t="str"/>
      <x:c r="P375" t="str"/>
      <x:c r="Q375" t="str"/>
      <x:c r="R375" t="str"/>
      <x:c r="S375" t="str"/>
      <x:c r="T375" t="str"/>
      <x:c r="U375" s="18" t="n">
        <x:v>46134.041666666664</x:v>
      </x:c>
      <x:c r="V375" t="str">
        <x:v>INITIAL_IMPORT</x:v>
      </x:c>
    </x:row>
    <x:row r="376">
      <x:c r="A376" t="str">
        <x:v>PRD-JVS-0375</x:v>
      </x:c>
      <x:c r="B376" t="str">
        <x:v>JVS-0375</x:v>
      </x:c>
      <x:c r="C376" t="str">
        <x:v>Kondensor Dalam Vespa Super</x:v>
      </x:c>
      <x:c r="D376" t="str">
        <x:v>Servis</x:v>
      </x:c>
      <x:c r="E376" t="str">
        <x:v>SUPER</x:v>
      </x:c>
      <x:c r="F376" t="str"/>
      <x:c r="G376" s="12" t="n">
        <x:v>20</x:v>
      </x:c>
      <x:c r="H376" s="12" t="n">
        <x:v>20</x:v>
      </x:c>
      <x:c r="I376" s="12" t="n">
        <x:v>0</x:v>
      </x:c>
      <x:c r="J376" s="16" t="n">
        <x:v>0</x:v>
      </x:c>
      <x:c r="K376" s="14" t="n">
        <x:v>6</x:v>
      </x:c>
      <x:c r="L376" s="14" t="n">
        <x:v>1</x:v>
      </x:c>
      <x:c r="M376" t="str">
        <x:v>READY</x:v>
      </x:c>
      <x:c r="N376" t="str">
        <x:v>AKTIF</x:v>
      </x:c>
      <x:c r="O376" t="str"/>
      <x:c r="P376" t="str"/>
      <x:c r="Q376" t="str"/>
      <x:c r="R376" t="str"/>
      <x:c r="S376" t="str"/>
      <x:c r="T376" t="str"/>
      <x:c r="U376" s="18" t="n">
        <x:v>46134.041666666664</x:v>
      </x:c>
      <x:c r="V376" t="str">
        <x:v>INITIAL_IMPORT</x:v>
      </x:c>
    </x:row>
    <x:row r="377">
      <x:c r="A377" t="str">
        <x:v>PRD-JVS-0376</x:v>
      </x:c>
      <x:c r="B377" t="str">
        <x:v>JVS-0376</x:v>
      </x:c>
      <x:c r="C377" t="str">
        <x:v>Kondensor luar Vespa</x:v>
      </x:c>
      <x:c r="D377" t="str">
        <x:v>Aksesoris</x:v>
      </x:c>
      <x:c r="E377" t="str"/>
      <x:c r="F377" t="str"/>
      <x:c r="G377" s="12" t="n">
        <x:v>8.5</x:v>
      </x:c>
      <x:c r="H377" s="12" t="n">
        <x:v>8.5</x:v>
      </x:c>
      <x:c r="I377" s="12" t="n">
        <x:v>0</x:v>
      </x:c>
      <x:c r="J377" s="16" t="n">
        <x:v>0</x:v>
      </x:c>
      <x:c r="K377" s="14" t="n">
        <x:v>9</x:v>
      </x:c>
      <x:c r="L377" s="14" t="n">
        <x:v>1</x:v>
      </x:c>
      <x:c r="M377" t="str">
        <x:v>READY</x:v>
      </x:c>
      <x:c r="N377" t="str">
        <x:v>AKTIF</x:v>
      </x:c>
      <x:c r="O377" t="str"/>
      <x:c r="P377" t="str"/>
      <x:c r="Q377" t="str"/>
      <x:c r="R377" t="str"/>
      <x:c r="S377" t="str"/>
      <x:c r="T377" t="str"/>
      <x:c r="U377" s="18" t="n">
        <x:v>46134.041666666664</x:v>
      </x:c>
      <x:c r="V377" t="str">
        <x:v>INITIAL_IMPORT</x:v>
      </x:c>
    </x:row>
    <x:row r="378">
      <x:c r="A378" t="str">
        <x:v>PRD-JVS-0377</x:v>
      </x:c>
      <x:c r="B378" t="str">
        <x:v>JVS-0377</x:v>
      </x:c>
      <x:c r="C378" t="str">
        <x:v>Kran Bensin Biasa Bagian Selang</x:v>
      </x:c>
      <x:c r="D378" t="str">
        <x:v>Servis</x:v>
      </x:c>
      <x:c r="E378" t="str"/>
      <x:c r="F378" t="str"/>
      <x:c r="G378" s="12" t="n">
        <x:v>13</x:v>
      </x:c>
      <x:c r="H378" s="12" t="n">
        <x:v>13</x:v>
      </x:c>
      <x:c r="I378" s="12" t="n">
        <x:v>0</x:v>
      </x:c>
      <x:c r="J378" s="16" t="n">
        <x:v>0</x:v>
      </x:c>
      <x:c r="K378" s="14" t="n">
        <x:v>11</x:v>
      </x:c>
      <x:c r="L378" s="14" t="n">
        <x:v>1</x:v>
      </x:c>
      <x:c r="M378" t="str">
        <x:v>READY</x:v>
      </x:c>
      <x:c r="N378" t="str">
        <x:v>AKTIF</x:v>
      </x:c>
      <x:c r="O378" t="str"/>
      <x:c r="P378" t="str"/>
      <x:c r="Q378" t="str"/>
      <x:c r="R378" t="str"/>
      <x:c r="S378" t="str"/>
      <x:c r="T378" t="str"/>
      <x:c r="U378" s="18" t="n">
        <x:v>46134.041666666664</x:v>
      </x:c>
      <x:c r="V378" t="str">
        <x:v>INITIAL_IMPORT</x:v>
      </x:c>
    </x:row>
    <x:row r="379">
      <x:c r="A379" t="str">
        <x:v>PRD-JVS-0378</x:v>
      </x:c>
      <x:c r="B379" t="str">
        <x:v>JVS-0378</x:v>
      </x:c>
      <x:c r="C379" t="str">
        <x:v>Kran Bensin Set Bagian Tangki</x:v>
      </x:c>
      <x:c r="D379" t="str">
        <x:v>Aksesoris</x:v>
      </x:c>
      <x:c r="E379" t="str"/>
      <x:c r="F379" t="str"/>
      <x:c r="G379" s="12" t="n">
        <x:v>75</x:v>
      </x:c>
      <x:c r="H379" s="12" t="n">
        <x:v>75</x:v>
      </x:c>
      <x:c r="I379" s="12" t="n">
        <x:v>0</x:v>
      </x:c>
      <x:c r="J379" s="16" t="n">
        <x:v>0</x:v>
      </x:c>
      <x:c r="K379" s="14" t="n">
        <x:v>2</x:v>
      </x:c>
      <x:c r="L379" s="14" t="n">
        <x:v>1</x:v>
      </x:c>
      <x:c r="M379" t="str">
        <x:v>READY</x:v>
      </x:c>
      <x:c r="N379" t="str">
        <x:v>AKTIF</x:v>
      </x:c>
      <x:c r="O379" t="str"/>
      <x:c r="P379" t="str"/>
      <x:c r="Q379" t="str"/>
      <x:c r="R379" t="str"/>
      <x:c r="S379" t="str"/>
      <x:c r="T379" t="str"/>
      <x:c r="U379" s="18" t="n">
        <x:v>46134.041666666664</x:v>
      </x:c>
      <x:c r="V379" t="str">
        <x:v>INITIAL_IMPORT</x:v>
      </x:c>
    </x:row>
    <x:row r="380">
      <x:c r="A380" t="str">
        <x:v>PRD-JVS-0379</x:v>
      </x:c>
      <x:c r="B380" t="str">
        <x:v>JVS-0379</x:v>
      </x:c>
      <x:c r="C380" t="str">
        <x:v>Kuku Macan Triplang Lantai Vespa PX Bijian</x:v>
      </x:c>
      <x:c r="D380" t="str">
        <x:v>Aksesoris</x:v>
      </x:c>
      <x:c r="E380" t="str">
        <x:v>PX</x:v>
      </x:c>
      <x:c r="F380" t="str"/>
      <x:c r="G380" s="12" t="n">
        <x:v>2.5</x:v>
      </x:c>
      <x:c r="H380" s="12" t="n">
        <x:v>2.5</x:v>
      </x:c>
      <x:c r="I380" s="12" t="n">
        <x:v>0</x:v>
      </x:c>
      <x:c r="J380" s="16" t="n">
        <x:v>0</x:v>
      </x:c>
      <x:c r="K380" s="14" t="n">
        <x:v>24</x:v>
      </x:c>
      <x:c r="L380" s="14" t="n">
        <x:v>1</x:v>
      </x:c>
      <x:c r="M380" t="str">
        <x:v>READY</x:v>
      </x:c>
      <x:c r="N380" t="str">
        <x:v>AKTIF</x:v>
      </x:c>
      <x:c r="O380" t="str"/>
      <x:c r="P380" t="str"/>
      <x:c r="Q380" t="str"/>
      <x:c r="R380" t="str"/>
      <x:c r="S380" t="str"/>
      <x:c r="T380" t="str"/>
      <x:c r="U380" s="18" t="n">
        <x:v>46134.041666666664</x:v>
      </x:c>
      <x:c r="V380" t="str">
        <x:v>INITIAL_IMPORT</x:v>
      </x:c>
    </x:row>
    <x:row r="381">
      <x:c r="A381" t="str">
        <x:v>PRD-JVS-0380</x:v>
      </x:c>
      <x:c r="B381" t="str">
        <x:v>JVS-0380</x:v>
      </x:c>
      <x:c r="C381" t="str">
        <x:v>Kuku Macan Triplang Lantai Vespa Super Bijian</x:v>
      </x:c>
      <x:c r="D381" t="str">
        <x:v>Servis</x:v>
      </x:c>
      <x:c r="E381" t="str">
        <x:v>SUPER</x:v>
      </x:c>
      <x:c r="F381" t="str"/>
      <x:c r="G381" s="12" t="n">
        <x:v>4</x:v>
      </x:c>
      <x:c r="H381" s="12" t="n">
        <x:v>4</x:v>
      </x:c>
      <x:c r="I381" s="12" t="n">
        <x:v>0</x:v>
      </x:c>
      <x:c r="J381" s="16" t="n">
        <x:v>0</x:v>
      </x:c>
      <x:c r="K381" s="14" t="n">
        <x:v>31</x:v>
      </x:c>
      <x:c r="L381" s="14" t="n">
        <x:v>1</x:v>
      </x:c>
      <x:c r="M381" t="str">
        <x:v>READY</x:v>
      </x:c>
      <x:c r="N381" t="str">
        <x:v>AKTIF</x:v>
      </x:c>
      <x:c r="O381" t="str"/>
      <x:c r="P381" t="str"/>
      <x:c r="Q381" t="str"/>
      <x:c r="R381" t="str"/>
      <x:c r="S381" t="str"/>
      <x:c r="T381" t="str"/>
      <x:c r="U381" s="18" t="n">
        <x:v>46134.041666666664</x:v>
      </x:c>
      <x:c r="V381" t="str">
        <x:v>INITIAL_IMPORT</x:v>
      </x:c>
    </x:row>
    <x:row r="382">
      <x:c r="A382" t="str">
        <x:v>PRD-JVS-0381</x:v>
      </x:c>
      <x:c r="B382" t="str">
        <x:v>JVS-0381</x:v>
      </x:c>
      <x:c r="C382" t="str">
        <x:v>Kuku Macan Triplang Vespa Sprint VBB Bijian</x:v>
      </x:c>
      <x:c r="D382" t="str">
        <x:v>Aksesoris</x:v>
      </x:c>
      <x:c r="E382" t="str">
        <x:v>SPRINT, VBB</x:v>
      </x:c>
      <x:c r="F382" t="str"/>
      <x:c r="G382" s="12" t="n">
        <x:v>5</x:v>
      </x:c>
      <x:c r="H382" s="12" t="n">
        <x:v>5</x:v>
      </x:c>
      <x:c r="I382" s="12" t="n">
        <x:v>0</x:v>
      </x:c>
      <x:c r="J382" s="16" t="n">
        <x:v>0</x:v>
      </x:c>
      <x:c r="K382" s="14" t="n">
        <x:v>35</x:v>
      </x:c>
      <x:c r="L382" s="14" t="n">
        <x:v>1</x:v>
      </x:c>
      <x:c r="M382" t="str">
        <x:v>READY</x:v>
      </x:c>
      <x:c r="N382" t="str">
        <x:v>AKTIF</x:v>
      </x:c>
      <x:c r="O382" t="str"/>
      <x:c r="P382" t="str"/>
      <x:c r="Q382" t="str"/>
      <x:c r="R382" t="str"/>
      <x:c r="S382" t="str"/>
      <x:c r="T382" t="str"/>
      <x:c r="U382" s="18" t="n">
        <x:v>46134.041666666664</x:v>
      </x:c>
      <x:c r="V382" t="str">
        <x:v>INITIAL_IMPORT</x:v>
      </x:c>
    </x:row>
    <x:row r="383">
      <x:c r="A383" t="str">
        <x:v>PRD-JVS-0382</x:v>
      </x:c>
      <x:c r="B383" t="str">
        <x:v>JVS-0382</x:v>
      </x:c>
      <x:c r="C383" t="str">
        <x:v>Kunci Anak Kunci 1 Sadel Kontak Stang Jok Sadel Vespa PXE</x:v>
      </x:c>
      <x:c r="D383" t="str">
        <x:v>Body</x:v>
      </x:c>
      <x:c r="E383" t="str">
        <x:v>PXE, PX</x:v>
      </x:c>
      <x:c r="F383" t="str"/>
      <x:c r="G383" s="12" t="n">
        <x:v>45</x:v>
      </x:c>
      <x:c r="H383" s="12" t="n">
        <x:v>45</x:v>
      </x:c>
      <x:c r="I383" s="12" t="n">
        <x:v>0</x:v>
      </x:c>
      <x:c r="J383" s="16" t="n">
        <x:v>0</x:v>
      </x:c>
      <x:c r="K383" s="14" t="n">
        <x:v>4</x:v>
      </x:c>
      <x:c r="L383" s="14" t="n">
        <x:v>1</x:v>
      </x:c>
      <x:c r="M383" t="str">
        <x:v>READY</x:v>
      </x:c>
      <x:c r="N383" t="str">
        <x:v>AKTIF</x:v>
      </x:c>
      <x:c r="O383" t="str"/>
      <x:c r="P383" t="str"/>
      <x:c r="Q383" t="str"/>
      <x:c r="R383" t="str"/>
      <x:c r="S383" t="str"/>
      <x:c r="T383" t="str"/>
      <x:c r="U383" s="18" t="n">
        <x:v>46134.041666666664</x:v>
      </x:c>
      <x:c r="V383" t="str">
        <x:v>INITIAL_IMPORT</x:v>
      </x:c>
    </x:row>
    <x:row r="384">
      <x:c r="A384" t="str">
        <x:v>PRD-JVS-0383</x:v>
      </x:c>
      <x:c r="B384" t="str">
        <x:v>JVS-0383</x:v>
      </x:c>
      <x:c r="C384" t="str">
        <x:v>Kunci Bagasi dan kunci stang set taiwan PX Super</x:v>
      </x:c>
      <x:c r="D384" t="str">
        <x:v>Body</x:v>
      </x:c>
      <x:c r="E384" t="str">
        <x:v>PX, SUPER</x:v>
      </x:c>
      <x:c r="F384" t="str"/>
      <x:c r="G384" s="12" t="n">
        <x:v>70</x:v>
      </x:c>
      <x:c r="H384" s="12" t="n">
        <x:v>70</x:v>
      </x:c>
      <x:c r="I384" s="12" t="n">
        <x:v>0</x:v>
      </x:c>
      <x:c r="J384" s="16" t="n">
        <x:v>0</x:v>
      </x:c>
      <x:c r="K384" s="14" t="n">
        <x:v>2</x:v>
      </x:c>
      <x:c r="L384" s="14" t="n">
        <x:v>1</x:v>
      </x:c>
      <x:c r="M384" t="str">
        <x:v>READY</x:v>
      </x:c>
      <x:c r="N384" t="str">
        <x:v>AKTIF</x:v>
      </x:c>
      <x:c r="O384" t="str"/>
      <x:c r="P384" t="str"/>
      <x:c r="Q384" t="str"/>
      <x:c r="R384" t="str"/>
      <x:c r="S384" t="str"/>
      <x:c r="T384" t="str"/>
      <x:c r="U384" s="18" t="n">
        <x:v>46134.041666666664</x:v>
      </x:c>
      <x:c r="V384" t="str">
        <x:v>INITIAL_IMPORT</x:v>
      </x:c>
    </x:row>
    <x:row r="385">
      <x:c r="A385" t="str">
        <x:v>PRD-JVS-0384</x:v>
      </x:c>
      <x:c r="B385" t="str">
        <x:v>JVS-0384</x:v>
      </x:c>
      <x:c r="C385" t="str">
        <x:v>Kunci Bagasi Vespa</x:v>
      </x:c>
      <x:c r="D385" t="str">
        <x:v>Aksesoris</x:v>
      </x:c>
      <x:c r="E385" t="str"/>
      <x:c r="F385" t="str"/>
      <x:c r="G385" s="12" t="n">
        <x:v>47</x:v>
      </x:c>
      <x:c r="H385" s="12" t="n">
        <x:v>47</x:v>
      </x:c>
      <x:c r="I385" s="12" t="n">
        <x:v>0</x:v>
      </x:c>
      <x:c r="J385" s="16" t="n">
        <x:v>0</x:v>
      </x:c>
      <x:c r="K385" s="14" t="n">
        <x:v>2</x:v>
      </x:c>
      <x:c r="L385" s="14" t="n">
        <x:v>1</x:v>
      </x:c>
      <x:c r="M385" t="str">
        <x:v>READY</x:v>
      </x:c>
      <x:c r="N385" t="str">
        <x:v>AKTIF</x:v>
      </x:c>
      <x:c r="O385" t="str"/>
      <x:c r="P385" t="str"/>
      <x:c r="Q385" t="str"/>
      <x:c r="R385" t="str"/>
      <x:c r="S385" t="str"/>
      <x:c r="T385" t="str"/>
      <x:c r="U385" s="18" t="n">
        <x:v>46134.041666666664</x:v>
      </x:c>
      <x:c r="V385" t="str">
        <x:v>INITIAL_IMPORT</x:v>
      </x:c>
    </x:row>
    <x:row r="386">
      <x:c r="A386" t="str">
        <x:v>PRD-JVS-0385</x:v>
      </x:c>
      <x:c r="B386" t="str">
        <x:v>JVS-0385</x:v>
      </x:c>
      <x:c r="C386" t="str">
        <x:v>Kunci Busi</x:v>
      </x:c>
      <x:c r="D386" t="str">
        <x:v>Kelistrikan</x:v>
      </x:c>
      <x:c r="E386" t="str"/>
      <x:c r="F386" t="str"/>
      <x:c r="G386" s="12" t="n">
        <x:v>25</x:v>
      </x:c>
      <x:c r="H386" s="12" t="n">
        <x:v>25</x:v>
      </x:c>
      <x:c r="I386" s="12" t="n">
        <x:v>0</x:v>
      </x:c>
      <x:c r="J386" s="16" t="n">
        <x:v>0</x:v>
      </x:c>
      <x:c r="K386" s="14" t="n">
        <x:v>4</x:v>
      </x:c>
      <x:c r="L386" s="14" t="n">
        <x:v>1</x:v>
      </x:c>
      <x:c r="M386" t="str">
        <x:v>READY</x:v>
      </x:c>
      <x:c r="N386" t="str">
        <x:v>AKTIF</x:v>
      </x:c>
      <x:c r="O386" t="str"/>
      <x:c r="P386" t="str"/>
      <x:c r="Q386" t="str"/>
      <x:c r="R386" t="str"/>
      <x:c r="S386" t="str"/>
      <x:c r="T386" t="str"/>
      <x:c r="U386" s="18" t="n">
        <x:v>46134.041666666664</x:v>
      </x:c>
      <x:c r="V386" t="str">
        <x:v>INITIAL_IMPORT</x:v>
      </x:c>
    </x:row>
    <x:row r="387">
      <x:c r="A387" t="str">
        <x:v>PRD-JVS-0386</x:v>
      </x:c>
      <x:c r="B387" t="str">
        <x:v>JVS-0386</x:v>
      </x:c>
      <x:c r="C387" t="str">
        <x:v>Kunci Busi Bagus Ori</x:v>
      </x:c>
      <x:c r="D387" t="str">
        <x:v>Kelistrikan</x:v>
      </x:c>
      <x:c r="E387" t="str"/>
      <x:c r="F387" t="str"/>
      <x:c r="G387" s="12" t="n">
        <x:v>45</x:v>
      </x:c>
      <x:c r="H387" s="12" t="n">
        <x:v>45</x:v>
      </x:c>
      <x:c r="I387" s="12" t="n">
        <x:v>0</x:v>
      </x:c>
      <x:c r="J387" s="16" t="n">
        <x:v>0</x:v>
      </x:c>
      <x:c r="K387" s="14" t="n">
        <x:v>0</x:v>
      </x:c>
      <x:c r="L387" s="14" t="n">
        <x:v>1</x:v>
      </x:c>
      <x:c r="M387" t="str">
        <x:v>OUT OF STOCK</x:v>
      </x:c>
      <x:c r="N387" t="str">
        <x:v>AKTIF</x:v>
      </x:c>
      <x:c r="O387" t="str"/>
      <x:c r="P387" t="str"/>
      <x:c r="Q387" t="str"/>
      <x:c r="R387" t="str"/>
      <x:c r="S387" t="str"/>
      <x:c r="T387" t="str"/>
      <x:c r="U387" s="18" t="n">
        <x:v>46134.041666666664</x:v>
      </x:c>
      <x:c r="V387" t="str">
        <x:v>INITIAL_IMPORT</x:v>
      </x:c>
    </x:row>
    <x:row r="388">
      <x:c r="A388" t="str">
        <x:v>PRD-JVS-0387</x:v>
      </x:c>
      <x:c r="B388" t="str">
        <x:v>JVS-0387</x:v>
      </x:c>
      <x:c r="C388" t="str">
        <x:v>Kunci kontak Saklar Mesin PX PS Lokal</x:v>
      </x:c>
      <x:c r="D388" t="str">
        <x:v>Kelistrikan</x:v>
      </x:c>
      <x:c r="E388" t="str">
        <x:v>PX, PS</x:v>
      </x:c>
      <x:c r="F388" t="str"/>
      <x:c r="G388" s="12" t="n">
        <x:v>48</x:v>
      </x:c>
      <x:c r="H388" s="12" t="n">
        <x:v>48</x:v>
      </x:c>
      <x:c r="I388" s="12" t="n">
        <x:v>0</x:v>
      </x:c>
      <x:c r="J388" s="16" t="n">
        <x:v>0</x:v>
      </x:c>
      <x:c r="K388" s="14" t="n">
        <x:v>3</x:v>
      </x:c>
      <x:c r="L388" s="14" t="n">
        <x:v>1</x:v>
      </x:c>
      <x:c r="M388" t="str">
        <x:v>READY</x:v>
      </x:c>
      <x:c r="N388" t="str">
        <x:v>AKTIF</x:v>
      </x:c>
      <x:c r="O388" t="str"/>
      <x:c r="P388" t="str"/>
      <x:c r="Q388" t="str"/>
      <x:c r="R388" t="str"/>
      <x:c r="S388" t="str"/>
      <x:c r="T388" t="str"/>
      <x:c r="U388" s="18" t="n">
        <x:v>46134.041666666664</x:v>
      </x:c>
      <x:c r="V388" t="str">
        <x:v>INITIAL_IMPORT</x:v>
      </x:c>
    </x:row>
    <x:row r="389">
      <x:c r="A389" t="str">
        <x:v>PRD-JVS-0388</x:v>
      </x:c>
      <x:c r="B389" t="str">
        <x:v>JVS-0388</x:v>
      </x:c>
      <x:c r="C389" t="str">
        <x:v>Kunci Shok Y 10-11-13</x:v>
      </x:c>
      <x:c r="D389" t="str">
        <x:v>Aksesoris</x:v>
      </x:c>
      <x:c r="E389" t="str"/>
      <x:c r="F389" t="str"/>
      <x:c r="G389" s="12" t="n">
        <x:v>10</x:v>
      </x:c>
      <x:c r="H389" s="12" t="n">
        <x:v>10</x:v>
      </x:c>
      <x:c r="I389" s="12" t="n">
        <x:v>0</x:v>
      </x:c>
      <x:c r="J389" s="16" t="n">
        <x:v>0</x:v>
      </x:c>
      <x:c r="K389" s="14" t="n">
        <x:v>4</x:v>
      </x:c>
      <x:c r="L389" s="14" t="n">
        <x:v>1</x:v>
      </x:c>
      <x:c r="M389" t="str">
        <x:v>READY</x:v>
      </x:c>
      <x:c r="N389" t="str">
        <x:v>AKTIF</x:v>
      </x:c>
      <x:c r="O389" t="str"/>
      <x:c r="P389" t="str"/>
      <x:c r="Q389" t="str"/>
      <x:c r="R389" t="str"/>
      <x:c r="S389" t="str"/>
      <x:c r="T389" t="str"/>
      <x:c r="U389" s="18" t="n">
        <x:v>46134.041666666664</x:v>
      </x:c>
      <x:c r="V389" t="str">
        <x:v>INITIAL_IMPORT</x:v>
      </x:c>
    </x:row>
    <x:row r="390">
      <x:c r="A390" t="str">
        <x:v>PRD-JVS-0389</x:v>
      </x:c>
      <x:c r="B390" t="str">
        <x:v>JVS-0389</x:v>
      </x:c>
      <x:c r="C390" t="str">
        <x:v>Kunci Shok Y 10-12-14</x:v>
      </x:c>
      <x:c r="D390" t="str">
        <x:v>Aksesoris</x:v>
      </x:c>
      <x:c r="E390" t="str"/>
      <x:c r="F390" t="str"/>
      <x:c r="G390" s="12" t="n">
        <x:v>10</x:v>
      </x:c>
      <x:c r="H390" s="12" t="n">
        <x:v>10</x:v>
      </x:c>
      <x:c r="I390" s="12" t="n">
        <x:v>0</x:v>
      </x:c>
      <x:c r="J390" s="16" t="n">
        <x:v>0</x:v>
      </x:c>
      <x:c r="K390" s="14" t="n">
        <x:v>6</x:v>
      </x:c>
      <x:c r="L390" s="14" t="n">
        <x:v>1</x:v>
      </x:c>
      <x:c r="M390" t="str">
        <x:v>READY</x:v>
      </x:c>
      <x:c r="N390" t="str">
        <x:v>AKTIF</x:v>
      </x:c>
      <x:c r="O390" t="str"/>
      <x:c r="P390" t="str"/>
      <x:c r="Q390" t="str"/>
      <x:c r="R390" t="str"/>
      <x:c r="S390" t="str"/>
      <x:c r="T390" t="str"/>
      <x:c r="U390" s="18" t="n">
        <x:v>46134.041666666664</x:v>
      </x:c>
      <x:c r="V390" t="str">
        <x:v>INITIAL_IMPORT</x:v>
      </x:c>
    </x:row>
    <x:row r="391">
      <x:c r="A391" t="str">
        <x:v>PRD-JVS-0390</x:v>
      </x:c>
      <x:c r="B391" t="str">
        <x:v>JVS-0390</x:v>
      </x:c>
      <x:c r="C391" t="str">
        <x:v>Kunci Stang Vespa Super Sprint Import</x:v>
      </x:c>
      <x:c r="D391" t="str">
        <x:v>Body</x:v>
      </x:c>
      <x:c r="E391" t="str">
        <x:v>SUPER, SPRINT</x:v>
      </x:c>
      <x:c r="F391" t="str"/>
      <x:c r="G391" s="12" t="n">
        <x:v>38.5</x:v>
      </x:c>
      <x:c r="H391" s="12" t="n">
        <x:v>38.5</x:v>
      </x:c>
      <x:c r="I391" s="12" t="n">
        <x:v>0</x:v>
      </x:c>
      <x:c r="J391" s="16" t="n">
        <x:v>0</x:v>
      </x:c>
      <x:c r="K391" s="14" t="n">
        <x:v>1</x:v>
      </x:c>
      <x:c r="L391" s="14" t="n">
        <x:v>1</x:v>
      </x:c>
      <x:c r="M391" t="str">
        <x:v>LOW</x:v>
      </x:c>
      <x:c r="N391" t="str">
        <x:v>AKTIF</x:v>
      </x:c>
      <x:c r="O391" t="str"/>
      <x:c r="P391" t="str"/>
      <x:c r="Q391" t="str"/>
      <x:c r="R391" t="str"/>
      <x:c r="S391" t="str"/>
      <x:c r="T391" t="str"/>
      <x:c r="U391" s="18" t="n">
        <x:v>46134.041666666664</x:v>
      </x:c>
      <x:c r="V391" t="str">
        <x:v>INITIAL_IMPORT</x:v>
      </x:c>
    </x:row>
    <x:row r="392">
      <x:c r="A392" t="str">
        <x:v>PRD-JVS-0391</x:v>
      </x:c>
      <x:c r="B392" t="str">
        <x:v>JVS-0391</x:v>
      </x:c>
      <x:c r="C392" t="str">
        <x:v>Laher 16005 Rumah Kopling Vespa PTS</x:v>
      </x:c>
      <x:c r="D392" t="str">
        <x:v>Mesin</x:v>
      </x:c>
      <x:c r="E392" t="str">
        <x:v>PTS</x:v>
      </x:c>
      <x:c r="F392" t="str"/>
      <x:c r="G392" s="12" t="str"/>
      <x:c r="H392" s="12" t="str"/>
      <x:c r="I392" s="12" t="str"/>
      <x:c r="J392" s="16" t="str"/>
      <x:c r="K392" s="14" t="n">
        <x:v>1</x:v>
      </x:c>
      <x:c r="L392" s="14" t="n">
        <x:v>1</x:v>
      </x:c>
      <x:c r="M392" t="str">
        <x:v>LOW</x:v>
      </x:c>
      <x:c r="N392" t="str">
        <x:v>AKTIF</x:v>
      </x:c>
      <x:c r="O392" t="str"/>
      <x:c r="P392" t="str"/>
      <x:c r="Q392" t="str"/>
      <x:c r="R392" t="str"/>
      <x:c r="S392" t="str"/>
      <x:c r="T392" t="str"/>
      <x:c r="U392" s="18" t="n">
        <x:v>46134.041666666664</x:v>
      </x:c>
      <x:c r="V392" t="str">
        <x:v>INITIAL_IMPORT</x:v>
      </x:c>
    </x:row>
    <x:row r="393">
      <x:c r="A393" t="str">
        <x:v>PRD-JVS-0392</x:v>
      </x:c>
      <x:c r="B393" t="str">
        <x:v>JVS-0392</x:v>
      </x:c>
      <x:c r="C393" t="str">
        <x:v>Laher 1616 Bagian Tromol Vespa PX</x:v>
      </x:c>
      <x:c r="D393" t="str">
        <x:v>Kaki-Kaki</x:v>
      </x:c>
      <x:c r="E393" t="str">
        <x:v>PX</x:v>
      </x:c>
      <x:c r="F393" t="str"/>
      <x:c r="G393" s="12" t="n">
        <x:v>20</x:v>
      </x:c>
      <x:c r="H393" s="12" t="n">
        <x:v>20</x:v>
      </x:c>
      <x:c r="I393" s="12" t="n">
        <x:v>0</x:v>
      </x:c>
      <x:c r="J393" s="16" t="n">
        <x:v>0</x:v>
      </x:c>
      <x:c r="K393" s="14" t="n">
        <x:v>3</x:v>
      </x:c>
      <x:c r="L393" s="14" t="n">
        <x:v>1</x:v>
      </x:c>
      <x:c r="M393" t="str">
        <x:v>READY</x:v>
      </x:c>
      <x:c r="N393" t="str">
        <x:v>AKTIF</x:v>
      </x:c>
      <x:c r="O393" t="str"/>
      <x:c r="P393" t="str"/>
      <x:c r="Q393" t="str"/>
      <x:c r="R393" t="str"/>
      <x:c r="S393" t="str"/>
      <x:c r="T393" t="str"/>
      <x:c r="U393" s="18" t="n">
        <x:v>46134.041666666664</x:v>
      </x:c>
      <x:c r="V393" t="str">
        <x:v>INITIAL_IMPORT</x:v>
      </x:c>
    </x:row>
    <x:row r="394">
      <x:c r="A394" t="str">
        <x:v>PRD-JVS-0393</x:v>
      </x:c>
      <x:c r="B394" t="str">
        <x:v>JVS-0393</x:v>
      </x:c>
      <x:c r="C394" t="str">
        <x:v>Laher 1812 Roda Depan Bagian Tutup Tromol Vespa PX</x:v>
      </x:c>
      <x:c r="D394" t="str">
        <x:v>Kaki-Kaki</x:v>
      </x:c>
      <x:c r="E394" t="str">
        <x:v>PX</x:v>
      </x:c>
      <x:c r="F394" t="str"/>
      <x:c r="G394" s="12" t="n">
        <x:v>20</x:v>
      </x:c>
      <x:c r="H394" s="12" t="n">
        <x:v>20</x:v>
      </x:c>
      <x:c r="I394" s="12" t="n">
        <x:v>0</x:v>
      </x:c>
      <x:c r="J394" s="16" t="n">
        <x:v>0</x:v>
      </x:c>
      <x:c r="K394" s="14" t="n">
        <x:v>1</x:v>
      </x:c>
      <x:c r="L394" s="14" t="n">
        <x:v>1</x:v>
      </x:c>
      <x:c r="M394" t="str">
        <x:v>LOW</x:v>
      </x:c>
      <x:c r="N394" t="str">
        <x:v>AKTIF</x:v>
      </x:c>
      <x:c r="O394" t="str"/>
      <x:c r="P394" t="str"/>
      <x:c r="Q394" t="str"/>
      <x:c r="R394" t="str"/>
      <x:c r="S394" t="str"/>
      <x:c r="T394" t="str"/>
      <x:c r="U394" s="18" t="n">
        <x:v>46134.041666666664</x:v>
      </x:c>
      <x:c r="V394" t="str">
        <x:v>INITIAL_IMPORT</x:v>
      </x:c>
    </x:row>
    <x:row r="395">
      <x:c r="A395" t="str">
        <x:v>PRD-JVS-0394</x:v>
      </x:c>
      <x:c r="B395" t="str">
        <x:v>JVS-0394</x:v>
      </x:c>
      <x:c r="C395" t="str">
        <x:v>Laher 2016 Bagian Tromol Depan Vespa Excel</x:v>
      </x:c>
      <x:c r="D395" t="str">
        <x:v>Kaki-Kaki</x:v>
      </x:c>
      <x:c r="E395" t="str">
        <x:v>EXCEL</x:v>
      </x:c>
      <x:c r="F395" t="str"/>
      <x:c r="G395" s="12" t="n">
        <x:v>20</x:v>
      </x:c>
      <x:c r="H395" s="12" t="n">
        <x:v>20</x:v>
      </x:c>
      <x:c r="I395" s="12" t="n">
        <x:v>0</x:v>
      </x:c>
      <x:c r="J395" s="16" t="n">
        <x:v>0</x:v>
      </x:c>
      <x:c r="K395" s="14" t="n">
        <x:v>1</x:v>
      </x:c>
      <x:c r="L395" s="14" t="n">
        <x:v>1</x:v>
      </x:c>
      <x:c r="M395" t="str">
        <x:v>LOW</x:v>
      </x:c>
      <x:c r="N395" t="str">
        <x:v>AKTIF</x:v>
      </x:c>
      <x:c r="O395" t="str"/>
      <x:c r="P395" t="str"/>
      <x:c r="Q395" t="str"/>
      <x:c r="R395" t="str"/>
      <x:c r="S395" t="str"/>
      <x:c r="T395" t="str"/>
      <x:c r="U395" s="18" t="n">
        <x:v>46134.041666666664</x:v>
      </x:c>
      <x:c r="V395" t="str">
        <x:v>INITIAL_IMPORT</x:v>
      </x:c>
    </x:row>
    <x:row r="396">
      <x:c r="A396" t="str">
        <x:v>PRD-JVS-0395</x:v>
      </x:c>
      <x:c r="B396" t="str">
        <x:v>JVS-0395</x:v>
      </x:c>
      <x:c r="C396" t="str">
        <x:v>Laher 2212 Bagian Tutup Tromol Vespa PXE, Excel</x:v>
      </x:c>
      <x:c r="D396" t="str">
        <x:v>Kaki-Kaki</x:v>
      </x:c>
      <x:c r="E396" t="str">
        <x:v>EXCEL, PXE, PX</x:v>
      </x:c>
      <x:c r="F396" t="str"/>
      <x:c r="G396" s="12" t="n">
        <x:v>20</x:v>
      </x:c>
      <x:c r="H396" s="12" t="n">
        <x:v>20</x:v>
      </x:c>
      <x:c r="I396" s="12" t="n">
        <x:v>0</x:v>
      </x:c>
      <x:c r="J396" s="16" t="n">
        <x:v>0</x:v>
      </x:c>
      <x:c r="K396" s="14" t="n">
        <x:v>0</x:v>
      </x:c>
      <x:c r="L396" s="14" t="n">
        <x:v>1</x:v>
      </x:c>
      <x:c r="M396" t="str">
        <x:v>OUT OF STOCK</x:v>
      </x:c>
      <x:c r="N396" t="str">
        <x:v>AKTIF</x:v>
      </x:c>
      <x:c r="O396" t="str"/>
      <x:c r="P396" t="str"/>
      <x:c r="Q396" t="str"/>
      <x:c r="R396" t="str"/>
      <x:c r="S396" t="str"/>
      <x:c r="T396" t="str"/>
      <x:c r="U396" s="18" t="n">
        <x:v>46134.041666666664</x:v>
      </x:c>
      <x:c r="V396" t="str">
        <x:v>INITIAL_IMPORT</x:v>
      </x:c>
    </x:row>
    <x:row r="397">
      <x:c r="A397" t="str">
        <x:v>PRD-JVS-0396</x:v>
      </x:c>
      <x:c r="B397" t="str">
        <x:v>JVS-0396</x:v>
      </x:c>
      <x:c r="C397" t="str">
        <x:v>Laher 6005 NKN</x:v>
      </x:c>
      <x:c r="D397" t="str">
        <x:v>Kaki-Kaki</x:v>
      </x:c>
      <x:c r="E397" t="str"/>
      <x:c r="F397" t="str"/>
      <x:c r="G397" s="12" t="n">
        <x:v>15</x:v>
      </x:c>
      <x:c r="H397" s="12" t="n">
        <x:v>15</x:v>
      </x:c>
      <x:c r="I397" s="12" t="n">
        <x:v>0</x:v>
      </x:c>
      <x:c r="J397" s="16" t="n">
        <x:v>0</x:v>
      </x:c>
      <x:c r="K397" s="14" t="n">
        <x:v>3</x:v>
      </x:c>
      <x:c r="L397" s="14" t="n">
        <x:v>1</x:v>
      </x:c>
      <x:c r="M397" t="str">
        <x:v>READY</x:v>
      </x:c>
      <x:c r="N397" t="str">
        <x:v>AKTIF</x:v>
      </x:c>
      <x:c r="O397" t="str"/>
      <x:c r="P397" t="str"/>
      <x:c r="Q397" t="str"/>
      <x:c r="R397" t="str"/>
      <x:c r="S397" t="str"/>
      <x:c r="T397" t="str"/>
      <x:c r="U397" s="18" t="n">
        <x:v>46134.041666666664</x:v>
      </x:c>
      <x:c r="V397" t="str">
        <x:v>INITIAL_IMPORT</x:v>
      </x:c>
    </x:row>
    <x:row r="398">
      <x:c r="A398" t="str">
        <x:v>PRD-JVS-0397</x:v>
      </x:c>
      <x:c r="B398" t="str">
        <x:v>JVS-0397</x:v>
      </x:c>
      <x:c r="C398" t="str">
        <x:v>Laher 6200 Gigi Susun Vespa PTS</x:v>
      </x:c>
      <x:c r="D398" t="str">
        <x:v>Mesin</x:v>
      </x:c>
      <x:c r="E398" t="str">
        <x:v>PTS</x:v>
      </x:c>
      <x:c r="F398" t="str"/>
      <x:c r="G398" s="12" t="str"/>
      <x:c r="H398" s="12" t="str"/>
      <x:c r="I398" s="12" t="str"/>
      <x:c r="J398" s="16" t="str"/>
      <x:c r="K398" s="14" t="n">
        <x:v>1</x:v>
      </x:c>
      <x:c r="L398" s="14" t="n">
        <x:v>1</x:v>
      </x:c>
      <x:c r="M398" t="str">
        <x:v>LOW</x:v>
      </x:c>
      <x:c r="N398" t="str">
        <x:v>AKTIF</x:v>
      </x:c>
      <x:c r="O398" t="str"/>
      <x:c r="P398" t="str"/>
      <x:c r="Q398" t="str"/>
      <x:c r="R398" t="str"/>
      <x:c r="S398" t="str"/>
      <x:c r="T398" t="str"/>
      <x:c r="U398" s="18" t="n">
        <x:v>46134.041666666664</x:v>
      </x:c>
      <x:c r="V398" t="str">
        <x:v>INITIAL_IMPORT</x:v>
      </x:c>
    </x:row>
    <x:row r="399">
      <x:c r="A399" t="str">
        <x:v>PRD-JVS-0398</x:v>
      </x:c>
      <x:c r="B399" t="str">
        <x:v>JVS-0398</x:v>
      </x:c>
      <x:c r="C399" t="str">
        <x:v>Laher 6201 Bagian Tromol Depan Vespa PX Lokal NKN</x:v>
      </x:c>
      <x:c r="D399" t="str">
        <x:v>Kaki-Kaki</x:v>
      </x:c>
      <x:c r="E399" t="str">
        <x:v>PX</x:v>
      </x:c>
      <x:c r="F399" t="str"/>
      <x:c r="G399" s="12" t="n">
        <x:v>10</x:v>
      </x:c>
      <x:c r="H399" s="12" t="n">
        <x:v>10</x:v>
      </x:c>
      <x:c r="I399" s="12" t="n">
        <x:v>0</x:v>
      </x:c>
      <x:c r="J399" s="16" t="n">
        <x:v>0</x:v>
      </x:c>
      <x:c r="K399" s="14" t="n">
        <x:v>1</x:v>
      </x:c>
      <x:c r="L399" s="14" t="n">
        <x:v>1</x:v>
      </x:c>
      <x:c r="M399" t="str">
        <x:v>LOW</x:v>
      </x:c>
      <x:c r="N399" t="str">
        <x:v>AKTIF</x:v>
      </x:c>
      <x:c r="O399" t="str"/>
      <x:c r="P399" t="str"/>
      <x:c r="Q399" t="str"/>
      <x:c r="R399" t="str"/>
      <x:c r="S399" t="str"/>
      <x:c r="T399" t="str"/>
      <x:c r="U399" s="18" t="n">
        <x:v>46134.041666666664</x:v>
      </x:c>
      <x:c r="V399" t="str">
        <x:v>INITIAL_IMPORT</x:v>
      </x:c>
    </x:row>
    <x:row r="400">
      <x:c r="A400" t="str">
        <x:v>PRD-JVS-0399</x:v>
      </x:c>
      <x:c r="B400" t="str">
        <x:v>JVS-0399</x:v>
      </x:c>
      <x:c r="C400" t="str">
        <x:v>Laher 6202 Tromol depan Vespa Excel NKN</x:v>
      </x:c>
      <x:c r="D400" t="str">
        <x:v>Kaki-Kaki</x:v>
      </x:c>
      <x:c r="E400" t="str">
        <x:v>EXCEL</x:v>
      </x:c>
      <x:c r="F400" t="str"/>
      <x:c r="G400" s="12" t="n">
        <x:v>10</x:v>
      </x:c>
      <x:c r="H400" s="12" t="n">
        <x:v>10</x:v>
      </x:c>
      <x:c r="I400" s="12" t="n">
        <x:v>0</x:v>
      </x:c>
      <x:c r="J400" s="16" t="n">
        <x:v>0</x:v>
      </x:c>
      <x:c r="K400" s="14" t="n">
        <x:v>1</x:v>
      </x:c>
      <x:c r="L400" s="14" t="n">
        <x:v>1</x:v>
      </x:c>
      <x:c r="M400" t="str">
        <x:v>LOW</x:v>
      </x:c>
      <x:c r="N400" t="str">
        <x:v>AKTIF</x:v>
      </x:c>
      <x:c r="O400" t="str"/>
      <x:c r="P400" t="str"/>
      <x:c r="Q400" t="str"/>
      <x:c r="R400" t="str"/>
      <x:c r="S400" t="str"/>
      <x:c r="T400" t="str"/>
      <x:c r="U400" s="18" t="n">
        <x:v>46134.041666666664</x:v>
      </x:c>
      <x:c r="V400" t="str">
        <x:v>INITIAL_IMPORT</x:v>
      </x:c>
    </x:row>
    <x:row r="401">
      <x:c r="A401" t="str">
        <x:v>PRD-JVS-0400</x:v>
      </x:c>
      <x:c r="B401" t="str">
        <x:v>JVS-0400</x:v>
      </x:c>
      <x:c r="C401" t="str">
        <x:v>Laher 6203 As roda depan vespa super sprint VBB Bajaj</x:v>
      </x:c>
      <x:c r="D401" t="str">
        <x:v>Kaki-Kaki</x:v>
      </x:c>
      <x:c r="E401" t="str">
        <x:v>SUPER, SPRINT, VBB, BAJAJ</x:v>
      </x:c>
      <x:c r="F401" t="str"/>
      <x:c r="G401" s="12" t="n">
        <x:v>18</x:v>
      </x:c>
      <x:c r="H401" s="12" t="n">
        <x:v>18</x:v>
      </x:c>
      <x:c r="I401" s="12" t="n">
        <x:v>0</x:v>
      </x:c>
      <x:c r="J401" s="16" t="n">
        <x:v>0</x:v>
      </x:c>
      <x:c r="K401" s="14" t="n">
        <x:v>5</x:v>
      </x:c>
      <x:c r="L401" s="14" t="n">
        <x:v>1</x:v>
      </x:c>
      <x:c r="M401" t="str">
        <x:v>READY</x:v>
      </x:c>
      <x:c r="N401" t="str">
        <x:v>AKTIF</x:v>
      </x:c>
      <x:c r="O401" t="str"/>
      <x:c r="P401" t="str"/>
      <x:c r="Q401" t="str"/>
      <x:c r="R401" t="str"/>
      <x:c r="S401" t="str"/>
      <x:c r="T401" t="str"/>
      <x:c r="U401" s="18" t="n">
        <x:v>46134.041666666664</x:v>
      </x:c>
      <x:c r="V401" t="str">
        <x:v>INITIAL_IMPORT</x:v>
      </x:c>
    </x:row>
    <x:row r="402">
      <x:c r="A402" t="str">
        <x:v>PRD-JVS-0401</x:v>
      </x:c>
      <x:c r="B402" t="str">
        <x:v>JVS-0401</x:v>
      </x:c>
      <x:c r="C402" t="str">
        <x:v>Laher 6204 As Roda Belakang Import</x:v>
      </x:c>
      <x:c r="D402" t="str">
        <x:v>Kaki-Kaki</x:v>
      </x:c>
      <x:c r="E402" t="str"/>
      <x:c r="F402" t="str"/>
      <x:c r="G402" s="12" t="n">
        <x:v>25</x:v>
      </x:c>
      <x:c r="H402" s="12" t="n">
        <x:v>25</x:v>
      </x:c>
      <x:c r="I402" s="12" t="n">
        <x:v>0</x:v>
      </x:c>
      <x:c r="J402" s="16" t="n">
        <x:v>0</x:v>
      </x:c>
      <x:c r="K402" s="14" t="n">
        <x:v>1</x:v>
      </x:c>
      <x:c r="L402" s="14" t="n">
        <x:v>1</x:v>
      </x:c>
      <x:c r="M402" t="str">
        <x:v>LOW</x:v>
      </x:c>
      <x:c r="N402" t="str">
        <x:v>AKTIF</x:v>
      </x:c>
      <x:c r="O402" t="str"/>
      <x:c r="P402" t="str"/>
      <x:c r="Q402" t="str"/>
      <x:c r="R402" t="str"/>
      <x:c r="S402" t="str"/>
      <x:c r="T402" t="str"/>
      <x:c r="U402" s="18" t="n">
        <x:v>46134.041666666664</x:v>
      </x:c>
      <x:c r="V402" t="str">
        <x:v>INITIAL_IMPORT</x:v>
      </x:c>
    </x:row>
    <x:row r="403">
      <x:c r="A403" t="str">
        <x:v>PRD-JVS-0402</x:v>
      </x:c>
      <x:c r="B403" t="str">
        <x:v>JVS-0402</x:v>
      </x:c>
      <x:c r="C403" t="str">
        <x:v>Laher 6302 As gigi Borobudur Vespa PX Super Import NKN</x:v>
      </x:c>
      <x:c r="D403" t="str">
        <x:v>Mesin</x:v>
      </x:c>
      <x:c r="E403" t="str">
        <x:v>PX, SUPER</x:v>
      </x:c>
      <x:c r="F403" t="str"/>
      <x:c r="G403" s="12" t="n">
        <x:v>15</x:v>
      </x:c>
      <x:c r="H403" s="12" t="n">
        <x:v>15</x:v>
      </x:c>
      <x:c r="I403" s="12" t="n">
        <x:v>0</x:v>
      </x:c>
      <x:c r="J403" s="16" t="n">
        <x:v>0</x:v>
      </x:c>
      <x:c r="K403" s="14" t="n">
        <x:v>2</x:v>
      </x:c>
      <x:c r="L403" s="14" t="n">
        <x:v>1</x:v>
      </x:c>
      <x:c r="M403" t="str">
        <x:v>READY</x:v>
      </x:c>
      <x:c r="N403" t="str">
        <x:v>AKTIF</x:v>
      </x:c>
      <x:c r="O403" t="str"/>
      <x:c r="P403" t="str"/>
      <x:c r="Q403" t="str"/>
      <x:c r="R403" t="str"/>
      <x:c r="S403" t="str"/>
      <x:c r="T403" t="str"/>
      <x:c r="U403" s="18" t="n">
        <x:v>46134.041666666664</x:v>
      </x:c>
      <x:c r="V403" t="str">
        <x:v>INITIAL_IMPORT</x:v>
      </x:c>
    </x:row>
    <x:row r="404">
      <x:c r="A404" t="str">
        <x:v>PRD-JVS-0403</x:v>
      </x:c>
      <x:c r="B404" t="str">
        <x:v>JVS-0403</x:v>
      </x:c>
      <x:c r="C404" t="str">
        <x:v>Laher Bak Perseneling Merk Vivo Vesgio</x:v>
      </x:c>
      <x:c r="D404" t="str">
        <x:v>Kaki-Kaki</x:v>
      </x:c>
      <x:c r="E404" t="str"/>
      <x:c r="F404" t="str"/>
      <x:c r="G404" s="12" t="n">
        <x:v>28.5</x:v>
      </x:c>
      <x:c r="H404" s="12" t="n">
        <x:v>28.5</x:v>
      </x:c>
      <x:c r="I404" s="12" t="n">
        <x:v>0</x:v>
      </x:c>
      <x:c r="J404" s="16" t="n">
        <x:v>0</x:v>
      </x:c>
      <x:c r="K404" s="14" t="n">
        <x:v>3</x:v>
      </x:c>
      <x:c r="L404" s="14" t="n">
        <x:v>1</x:v>
      </x:c>
      <x:c r="M404" t="str">
        <x:v>READY</x:v>
      </x:c>
      <x:c r="N404" t="str">
        <x:v>AKTIF</x:v>
      </x:c>
      <x:c r="O404" t="str"/>
      <x:c r="P404" t="str"/>
      <x:c r="Q404" t="str"/>
      <x:c r="R404" t="str"/>
      <x:c r="S404" t="str"/>
      <x:c r="T404" t="str"/>
      <x:c r="U404" s="18" t="n">
        <x:v>46134.041666666664</x:v>
      </x:c>
      <x:c r="V404" t="str">
        <x:v>INITIAL_IMPORT</x:v>
      </x:c>
    </x:row>
    <x:row r="405">
      <x:c r="A405" t="str">
        <x:v>PRD-JVS-0404</x:v>
      </x:c>
      <x:c r="B405" t="str">
        <x:v>JVS-0404</x:v>
      </x:c>
      <x:c r="C405" t="str">
        <x:v>Laher JB 1005 Gigi Susun Vespa Tua 613852</x:v>
      </x:c>
      <x:c r="D405" t="str">
        <x:v>Mesin</x:v>
      </x:c>
      <x:c r="E405" t="str"/>
      <x:c r="F405" t="str"/>
      <x:c r="G405" s="12" t="n">
        <x:v>20</x:v>
      </x:c>
      <x:c r="H405" s="12" t="n">
        <x:v>20</x:v>
      </x:c>
      <x:c r="I405" s="12" t="n">
        <x:v>0</x:v>
      </x:c>
      <x:c r="J405" s="16" t="n">
        <x:v>0</x:v>
      </x:c>
      <x:c r="K405" s="14" t="n">
        <x:v>1</x:v>
      </x:c>
      <x:c r="L405" s="14" t="n">
        <x:v>1</x:v>
      </x:c>
      <x:c r="M405" t="str">
        <x:v>LOW</x:v>
      </x:c>
      <x:c r="N405" t="str">
        <x:v>AKTIF</x:v>
      </x:c>
      <x:c r="O405" t="str"/>
      <x:c r="P405" t="str"/>
      <x:c r="Q405" t="str"/>
      <x:c r="R405" t="str"/>
      <x:c r="S405" t="str"/>
      <x:c r="T405" t="str"/>
      <x:c r="U405" s="18" t="n">
        <x:v>46134.041666666664</x:v>
      </x:c>
      <x:c r="V405" t="str">
        <x:v>INITIAL_IMPORT</x:v>
      </x:c>
    </x:row>
    <x:row r="406">
      <x:c r="A406" t="str">
        <x:v>PRD-JVS-0405</x:v>
      </x:c>
      <x:c r="B406" t="str">
        <x:v>JVS-0405</x:v>
      </x:c>
      <x:c r="C406" t="str">
        <x:v>Laher Komstir Vespa Lokal</x:v>
      </x:c>
      <x:c r="D406" t="str">
        <x:v>Kaki-Kaki</x:v>
      </x:c>
      <x:c r="E406" t="str"/>
      <x:c r="F406" t="str"/>
      <x:c r="G406" s="12" t="n">
        <x:v>15</x:v>
      </x:c>
      <x:c r="H406" s="12" t="n">
        <x:v>15</x:v>
      </x:c>
      <x:c r="I406" s="12" t="n">
        <x:v>0</x:v>
      </x:c>
      <x:c r="J406" s="16" t="n">
        <x:v>0</x:v>
      </x:c>
      <x:c r="K406" s="14" t="n">
        <x:v>5</x:v>
      </x:c>
      <x:c r="L406" s="14" t="n">
        <x:v>1</x:v>
      </x:c>
      <x:c r="M406" t="str">
        <x:v>READY</x:v>
      </x:c>
      <x:c r="N406" t="str">
        <x:v>AKTIF</x:v>
      </x:c>
      <x:c r="O406" t="str"/>
      <x:c r="P406" t="str"/>
      <x:c r="Q406" t="str"/>
      <x:c r="R406" t="str"/>
      <x:c r="S406" t="str"/>
      <x:c r="T406" t="str"/>
      <x:c r="U406" s="18" t="n">
        <x:v>46134.041666666664</x:v>
      </x:c>
      <x:c r="V406" t="str">
        <x:v>INITIAL_IMPORT</x:v>
      </x:c>
    </x:row>
    <x:row r="407">
      <x:c r="A407" t="str">
        <x:v>PRD-JVS-0406</x:v>
      </x:c>
      <x:c r="B407" t="str">
        <x:v>JVS-0406</x:v>
      </x:c>
      <x:c r="C407" t="str">
        <x:v>Laher Kruk As 6303 Vespa corsa PTS Bagian kiri / kopling lokal</x:v>
      </x:c>
      <x:c r="D407" t="str">
        <x:v>Mesin</x:v>
      </x:c>
      <x:c r="E407" t="str">
        <x:v>PTS</x:v>
      </x:c>
      <x:c r="F407" t="str"/>
      <x:c r="G407" s="12" t="str"/>
      <x:c r="H407" s="12" t="str"/>
      <x:c r="I407" s="12" t="str"/>
      <x:c r="J407" s="16" t="str"/>
      <x:c r="K407" s="14" t="n">
        <x:v>16</x:v>
      </x:c>
      <x:c r="L407" s="14" t="n">
        <x:v>1</x:v>
      </x:c>
      <x:c r="M407" t="str">
        <x:v>READY</x:v>
      </x:c>
      <x:c r="N407" t="str">
        <x:v>AKTIF</x:v>
      </x:c>
      <x:c r="O407" t="str"/>
      <x:c r="P407" t="str"/>
      <x:c r="Q407" t="str"/>
      <x:c r="R407" t="str"/>
      <x:c r="S407" t="str"/>
      <x:c r="T407" t="str"/>
      <x:c r="U407" s="18" t="n">
        <x:v>46134.041666666664</x:v>
      </x:c>
      <x:c r="V407" t="str">
        <x:v>INITIAL_IMPORT</x:v>
      </x:c>
    </x:row>
    <x:row r="408">
      <x:c r="A408" t="str">
        <x:v>PRD-JVS-0407</x:v>
      </x:c>
      <x:c r="B408" t="str">
        <x:v>JVS-0407</x:v>
      </x:c>
      <x:c r="C408" t="str">
        <x:v>Laher Kruk As Bagian Kopling Vespa PX Merk DANMOTOR</x:v>
      </x:c>
      <x:c r="D408" t="str">
        <x:v>Mesin</x:v>
      </x:c>
      <x:c r="E408" t="str">
        <x:v>PX</x:v>
      </x:c>
      <x:c r="F408" t="str"/>
      <x:c r="G408" s="12" t="n">
        <x:v>160</x:v>
      </x:c>
      <x:c r="H408" s="12" t="n">
        <x:v>160</x:v>
      </x:c>
      <x:c r="I408" s="12" t="n">
        <x:v>0</x:v>
      </x:c>
      <x:c r="J408" s="16" t="n">
        <x:v>0</x:v>
      </x:c>
      <x:c r="K408" s="14" t="n">
        <x:v>0</x:v>
      </x:c>
      <x:c r="L408" s="14" t="n">
        <x:v>1</x:v>
      </x:c>
      <x:c r="M408" t="str">
        <x:v>OUT OF STOCK</x:v>
      </x:c>
      <x:c r="N408" t="str">
        <x:v>AKTIF</x:v>
      </x:c>
      <x:c r="O408" t="str"/>
      <x:c r="P408" t="str"/>
      <x:c r="Q408" t="str"/>
      <x:c r="R408" t="str"/>
      <x:c r="S408" t="str"/>
      <x:c r="T408" t="str"/>
      <x:c r="U408" s="18" t="n">
        <x:v>46134.041666666664</x:v>
      </x:c>
      <x:c r="V408" t="str">
        <x:v>INITIAL_IMPORT</x:v>
      </x:c>
    </x:row>
    <x:row r="409">
      <x:c r="A409" t="str">
        <x:v>PRD-JVS-0408</x:v>
      </x:c>
      <x:c r="B409" t="str">
        <x:v>JVS-0408</x:v>
      </x:c>
      <x:c r="C409" t="str">
        <x:v>Laher Kruk As Bagian Kopling Vespa PX Merk FAG</x:v>
      </x:c>
      <x:c r="D409" t="str">
        <x:v>Mesin</x:v>
      </x:c>
      <x:c r="E409" t="str">
        <x:v>PX</x:v>
      </x:c>
      <x:c r="F409" t="str"/>
      <x:c r="G409" s="12" t="n">
        <x:v>65</x:v>
      </x:c>
      <x:c r="H409" s="12" t="n">
        <x:v>65</x:v>
      </x:c>
      <x:c r="I409" s="12" t="n">
        <x:v>0</x:v>
      </x:c>
      <x:c r="J409" s="16" t="n">
        <x:v>0</x:v>
      </x:c>
      <x:c r="K409" s="14" t="n">
        <x:v>0</x:v>
      </x:c>
      <x:c r="L409" s="14" t="n">
        <x:v>1</x:v>
      </x:c>
      <x:c r="M409" t="str">
        <x:v>OUT OF STOCK</x:v>
      </x:c>
      <x:c r="N409" t="str">
        <x:v>AKTIF</x:v>
      </x:c>
      <x:c r="O409" t="str"/>
      <x:c r="P409" t="str"/>
      <x:c r="Q409" t="str"/>
      <x:c r="R409" t="str"/>
      <x:c r="S409" t="str"/>
      <x:c r="T409" t="str"/>
      <x:c r="U409" s="18" t="n">
        <x:v>46134.041666666664</x:v>
      </x:c>
      <x:c r="V409" t="str">
        <x:v>INITIAL_IMPORT</x:v>
      </x:c>
    </x:row>
    <x:row r="410">
      <x:c r="A410" t="str">
        <x:v>PRD-JVS-0409</x:v>
      </x:c>
      <x:c r="B410" t="str">
        <x:v>JVS-0409</x:v>
      </x:c>
      <x:c r="C410" t="str">
        <x:v>Laher Kruk As Bagian Kopling Vespa PX Merk NKN</x:v>
      </x:c>
      <x:c r="D410" t="str">
        <x:v>Mesin</x:v>
      </x:c>
      <x:c r="E410" t="str">
        <x:v>PX</x:v>
      </x:c>
      <x:c r="F410" t="str"/>
      <x:c r="G410" s="12" t="n">
        <x:v>30</x:v>
      </x:c>
      <x:c r="H410" s="12" t="n">
        <x:v>30</x:v>
      </x:c>
      <x:c r="I410" s="12" t="n">
        <x:v>0</x:v>
      </x:c>
      <x:c r="J410" s="16" t="n">
        <x:v>0</x:v>
      </x:c>
      <x:c r="K410" s="14" t="n">
        <x:v>2</x:v>
      </x:c>
      <x:c r="L410" s="14" t="n">
        <x:v>1</x:v>
      </x:c>
      <x:c r="M410" t="str">
        <x:v>READY</x:v>
      </x:c>
      <x:c r="N410" t="str">
        <x:v>AKTIF</x:v>
      </x:c>
      <x:c r="O410" t="str"/>
      <x:c r="P410" t="str"/>
      <x:c r="Q410" t="str"/>
      <x:c r="R410" t="str"/>
      <x:c r="S410" t="str"/>
      <x:c r="T410" t="str"/>
      <x:c r="U410" s="18" t="n">
        <x:v>46134.041666666664</x:v>
      </x:c>
      <x:c r="V410" t="str">
        <x:v>INITIAL_IMPORT</x:v>
      </x:c>
    </x:row>
    <x:row r="411">
      <x:c r="A411" t="str">
        <x:v>PRD-JVS-0410</x:v>
      </x:c>
      <x:c r="B411" t="str">
        <x:v>JVS-0410</x:v>
      </x:c>
      <x:c r="C411" t="str">
        <x:v>Laher Kruk As Bagian Kopling Vespa PX Merk NTN Original</x:v>
      </x:c>
      <x:c r="D411" t="str">
        <x:v>Mesin</x:v>
      </x:c>
      <x:c r="E411" t="str">
        <x:v>PX</x:v>
      </x:c>
      <x:c r="F411" t="str"/>
      <x:c r="G411" s="12" t="n">
        <x:v>95</x:v>
      </x:c>
      <x:c r="H411" s="12" t="n">
        <x:v>95</x:v>
      </x:c>
      <x:c r="I411" s="12" t="n">
        <x:v>0</x:v>
      </x:c>
      <x:c r="J411" s="16" t="n">
        <x:v>0</x:v>
      </x:c>
      <x:c r="K411" s="14" t="n">
        <x:v>0</x:v>
      </x:c>
      <x:c r="L411" s="14" t="n">
        <x:v>1</x:v>
      </x:c>
      <x:c r="M411" t="str">
        <x:v>OUT OF STOCK</x:v>
      </x:c>
      <x:c r="N411" t="str">
        <x:v>AKTIF</x:v>
      </x:c>
      <x:c r="O411" t="str"/>
      <x:c r="P411" t="str"/>
      <x:c r="Q411" t="str"/>
      <x:c r="R411" t="str"/>
      <x:c r="S411" t="str"/>
      <x:c r="T411" t="str"/>
      <x:c r="U411" s="18" t="n">
        <x:v>46134.041666666664</x:v>
      </x:c>
      <x:c r="V411" t="str">
        <x:v>INITIAL_IMPORT</x:v>
      </x:c>
    </x:row>
    <x:row r="412">
      <x:c r="A412" t="str">
        <x:v>PRD-JVS-0411</x:v>
      </x:c>
      <x:c r="B412" t="str">
        <x:v>JVS-0411</x:v>
      </x:c>
      <x:c r="C412" t="str">
        <x:v>Laher Kruk As Besar Bagian Magnet Vespa PX Danmotor</x:v>
      </x:c>
      <x:c r="D412" t="str">
        <x:v>Mesin</x:v>
      </x:c>
      <x:c r="E412" t="str">
        <x:v>PX</x:v>
      </x:c>
      <x:c r="F412" t="str"/>
      <x:c r="G412" s="12" t="n">
        <x:v>135</x:v>
      </x:c>
      <x:c r="H412" s="12" t="n">
        <x:v>135</x:v>
      </x:c>
      <x:c r="I412" s="12" t="n">
        <x:v>0</x:v>
      </x:c>
      <x:c r="J412" s="16" t="n">
        <x:v>0</x:v>
      </x:c>
      <x:c r="K412" s="14" t="n">
        <x:v>2</x:v>
      </x:c>
      <x:c r="L412" s="14" t="n">
        <x:v>1</x:v>
      </x:c>
      <x:c r="M412" t="str">
        <x:v>READY</x:v>
      </x:c>
      <x:c r="N412" t="str">
        <x:v>AKTIF</x:v>
      </x:c>
      <x:c r="O412" t="str"/>
      <x:c r="P412" t="str"/>
      <x:c r="Q412" t="str"/>
      <x:c r="R412" t="str"/>
      <x:c r="S412" t="str"/>
      <x:c r="T412" t="str"/>
      <x:c r="U412" s="18" t="n">
        <x:v>46134.041666666664</x:v>
      </x:c>
      <x:c r="V412" t="str">
        <x:v>INITIAL_IMPORT</x:v>
      </x:c>
    </x:row>
    <x:row r="413">
      <x:c r="A413" t="str">
        <x:v>PRD-JVS-0412</x:v>
      </x:c>
      <x:c r="B413" t="str">
        <x:v>JVS-0412</x:v>
      </x:c>
      <x:c r="C413" t="str">
        <x:v>Laher Kruk As Besar Bagian Magnet Vespa PX Merk FAG Vitalia</x:v>
      </x:c>
      <x:c r="D413" t="str">
        <x:v>Mesin</x:v>
      </x:c>
      <x:c r="E413" t="str">
        <x:v>PX</x:v>
      </x:c>
      <x:c r="F413" t="str"/>
      <x:c r="G413" s="12" t="n">
        <x:v>65</x:v>
      </x:c>
      <x:c r="H413" s="12" t="n">
        <x:v>65</x:v>
      </x:c>
      <x:c r="I413" s="12" t="n">
        <x:v>0</x:v>
      </x:c>
      <x:c r="J413" s="16" t="n">
        <x:v>0</x:v>
      </x:c>
      <x:c r="K413" s="14" t="n">
        <x:v>0</x:v>
      </x:c>
      <x:c r="L413" s="14" t="n">
        <x:v>1</x:v>
      </x:c>
      <x:c r="M413" t="str">
        <x:v>OUT OF STOCK</x:v>
      </x:c>
      <x:c r="N413" t="str">
        <x:v>AKTIF</x:v>
      </x:c>
      <x:c r="O413" t="str"/>
      <x:c r="P413" t="str"/>
      <x:c r="Q413" t="str"/>
      <x:c r="R413" t="str"/>
      <x:c r="S413" t="str"/>
      <x:c r="T413" t="str"/>
      <x:c r="U413" s="18" t="n">
        <x:v>46134.041666666664</x:v>
      </x:c>
      <x:c r="V413" t="str">
        <x:v>INITIAL_IMPORT</x:v>
      </x:c>
    </x:row>
    <x:row r="414">
      <x:c r="A414" t="str">
        <x:v>PRD-JVS-0413</x:v>
      </x:c>
      <x:c r="B414" t="str">
        <x:v>JVS-0413</x:v>
      </x:c>
      <x:c r="C414" t="str">
        <x:v>Laher Kruk As Besar Bagian Magnet Vespa PX Merk NKN</x:v>
      </x:c>
      <x:c r="D414" t="str">
        <x:v>Mesin</x:v>
      </x:c>
      <x:c r="E414" t="str">
        <x:v>PX</x:v>
      </x:c>
      <x:c r="F414" t="str"/>
      <x:c r="G414" s="12" t="n">
        <x:v>45</x:v>
      </x:c>
      <x:c r="H414" s="12" t="n">
        <x:v>45</x:v>
      </x:c>
      <x:c r="I414" s="12" t="n">
        <x:v>0</x:v>
      </x:c>
      <x:c r="J414" s="16" t="n">
        <x:v>0</x:v>
      </x:c>
      <x:c r="K414" s="14" t="n">
        <x:v>0</x:v>
      </x:c>
      <x:c r="L414" s="14" t="n">
        <x:v>1</x:v>
      </x:c>
      <x:c r="M414" t="str">
        <x:v>OUT OF STOCK</x:v>
      </x:c>
      <x:c r="N414" t="str">
        <x:v>AKTIF</x:v>
      </x:c>
      <x:c r="O414" t="str"/>
      <x:c r="P414" t="str"/>
      <x:c r="Q414" t="str"/>
      <x:c r="R414" t="str"/>
      <x:c r="S414" t="str"/>
      <x:c r="T414" t="str"/>
      <x:c r="U414" s="18" t="n">
        <x:v>46134.041666666664</x:v>
      </x:c>
      <x:c r="V414" t="str">
        <x:v>INITIAL_IMPORT</x:v>
      </x:c>
    </x:row>
    <x:row r="415">
      <x:c r="A415" t="str">
        <x:v>PRD-JVS-0414</x:v>
      </x:c>
      <x:c r="B415" t="str">
        <x:v>JVS-0414</x:v>
      </x:c>
      <x:c r="C415" t="str">
        <x:v>Laher Mimis Ruji Roces Gigi Borobudur</x:v>
      </x:c>
      <x:c r="D415" t="str">
        <x:v>Mesin</x:v>
      </x:c>
      <x:c r="E415" t="str"/>
      <x:c r="F415" t="str"/>
      <x:c r="G415" s="12" t="n">
        <x:v>12</x:v>
      </x:c>
      <x:c r="H415" s="12" t="n">
        <x:v>12</x:v>
      </x:c>
      <x:c r="I415" s="12" t="n">
        <x:v>0</x:v>
      </x:c>
      <x:c r="J415" s="16" t="n">
        <x:v>0</x:v>
      </x:c>
      <x:c r="K415" s="14" t="n">
        <x:v>51</x:v>
      </x:c>
      <x:c r="L415" s="14" t="n">
        <x:v>1</x:v>
      </x:c>
      <x:c r="M415" t="str">
        <x:v>READY</x:v>
      </x:c>
      <x:c r="N415" t="str">
        <x:v>AKTIF</x:v>
      </x:c>
      <x:c r="O415" t="str"/>
      <x:c r="P415" t="str"/>
      <x:c r="Q415" t="str"/>
      <x:c r="R415" t="str"/>
      <x:c r="S415" t="str"/>
      <x:c r="T415" t="str"/>
      <x:c r="U415" s="18" t="n">
        <x:v>46134.041666666664</x:v>
      </x:c>
      <x:c r="V415" t="str">
        <x:v>INITIAL_IMPORT</x:v>
      </x:c>
    </x:row>
    <x:row r="416">
      <x:c r="A416" t="str">
        <x:v>PRD-JVS-0415</x:v>
      </x:c>
      <x:c r="B416" t="str">
        <x:v>JVS-0415</x:v>
      </x:c>
      <x:c r="C416" t="str">
        <x:v>Lem Packing Bagus</x:v>
      </x:c>
      <x:c r="D416" t="str">
        <x:v>Servis</x:v>
      </x:c>
      <x:c r="E416" t="str"/>
      <x:c r="F416" t="str"/>
      <x:c r="G416" s="12" t="n">
        <x:v>12</x:v>
      </x:c>
      <x:c r="H416" s="12" t="n">
        <x:v>12</x:v>
      </x:c>
      <x:c r="I416" s="12" t="n">
        <x:v>0</x:v>
      </x:c>
      <x:c r="J416" s="16" t="n">
        <x:v>0</x:v>
      </x:c>
      <x:c r="K416" s="14" t="n">
        <x:v>0</x:v>
      </x:c>
      <x:c r="L416" s="14" t="n">
        <x:v>1</x:v>
      </x:c>
      <x:c r="M416" t="str">
        <x:v>OUT OF STOCK</x:v>
      </x:c>
      <x:c r="N416" t="str">
        <x:v>AKTIF</x:v>
      </x:c>
      <x:c r="O416" t="str"/>
      <x:c r="P416" t="str"/>
      <x:c r="Q416" t="str"/>
      <x:c r="R416" t="str"/>
      <x:c r="S416" t="str"/>
      <x:c r="T416" t="str"/>
      <x:c r="U416" s="18" t="n">
        <x:v>46134.041666666664</x:v>
      </x:c>
      <x:c r="V416" t="str">
        <x:v>INITIAL_IMPORT</x:v>
      </x:c>
    </x:row>
    <x:row r="417">
      <x:c r="A417" t="str">
        <x:v>PRD-JVS-0416</x:v>
      </x:c>
      <x:c r="B417" t="str">
        <x:v>JVS-0416</x:v>
      </x:c>
      <x:c r="C417" t="str">
        <x:v>Lem Packing Threebond HI TEMP Abu</x:v>
      </x:c>
      <x:c r="D417" t="str">
        <x:v>Servis</x:v>
      </x:c>
      <x:c r="E417" t="str"/>
      <x:c r="F417" t="str"/>
      <x:c r="G417" s="12" t="n">
        <x:v>16</x:v>
      </x:c>
      <x:c r="H417" s="12" t="n">
        <x:v>16</x:v>
      </x:c>
      <x:c r="I417" s="12" t="n">
        <x:v>0</x:v>
      </x:c>
      <x:c r="J417" s="16" t="n">
        <x:v>0</x:v>
      </x:c>
      <x:c r="K417" s="14" t="n">
        <x:v>3</x:v>
      </x:c>
      <x:c r="L417" s="14" t="n">
        <x:v>1</x:v>
      </x:c>
      <x:c r="M417" t="str">
        <x:v>READY</x:v>
      </x:c>
      <x:c r="N417" t="str">
        <x:v>AKTIF</x:v>
      </x:c>
      <x:c r="O417" t="str"/>
      <x:c r="P417" t="str"/>
      <x:c r="Q417" t="str"/>
      <x:c r="R417" t="str"/>
      <x:c r="S417" t="str"/>
      <x:c r="T417" t="str"/>
      <x:c r="U417" s="18" t="n">
        <x:v>46134.041666666664</x:v>
      </x:c>
      <x:c r="V417" t="str">
        <x:v>INITIAL_IMPORT</x:v>
      </x:c>
    </x:row>
    <x:row r="418">
      <x:c r="A418" t="str">
        <x:v>PRD-JVS-0417</x:v>
      </x:c>
      <x:c r="B418" t="str">
        <x:v>JVS-0417</x:v>
      </x:c>
      <x:c r="C418" t="str">
        <x:v>Lem Plastic Steel 12gr</x:v>
      </x:c>
      <x:c r="D418" t="str">
        <x:v>Aksesoris</x:v>
      </x:c>
      <x:c r="E418" t="str"/>
      <x:c r="F418" t="str"/>
      <x:c r="G418" s="12" t="n">
        <x:v>13</x:v>
      </x:c>
      <x:c r="H418" s="12" t="n">
        <x:v>13</x:v>
      </x:c>
      <x:c r="I418" s="12" t="n">
        <x:v>0</x:v>
      </x:c>
      <x:c r="J418" s="16" t="n">
        <x:v>0</x:v>
      </x:c>
      <x:c r="K418" s="14" t="n">
        <x:v>1</x:v>
      </x:c>
      <x:c r="L418" s="14" t="n">
        <x:v>1</x:v>
      </x:c>
      <x:c r="M418" t="str">
        <x:v>LOW</x:v>
      </x:c>
      <x:c r="N418" t="str">
        <x:v>AKTIF</x:v>
      </x:c>
      <x:c r="O418" t="str"/>
      <x:c r="P418" t="str"/>
      <x:c r="Q418" t="str"/>
      <x:c r="R418" t="str"/>
      <x:c r="S418" t="str"/>
      <x:c r="T418" t="str"/>
      <x:c r="U418" s="18" t="n">
        <x:v>46134.041666666664</x:v>
      </x:c>
      <x:c r="V418" t="str">
        <x:v>INITIAL_IMPORT</x:v>
      </x:c>
    </x:row>
    <x:row r="419">
      <x:c r="A419" t="str">
        <x:v>PRD-JVS-0418</x:v>
      </x:c>
      <x:c r="B419" t="str">
        <x:v>JVS-0418</x:v>
      </x:c>
      <x:c r="C419" t="str">
        <x:v>Lem Porting Kapal Epo Putty 50gram</x:v>
      </x:c>
      <x:c r="D419" t="str">
        <x:v>Aksesoris</x:v>
      </x:c>
      <x:c r="E419" t="str"/>
      <x:c r="F419" t="str"/>
      <x:c r="G419" s="12" t="n">
        <x:v>20.5</x:v>
      </x:c>
      <x:c r="H419" s="12" t="n">
        <x:v>20.5</x:v>
      </x:c>
      <x:c r="I419" s="12" t="n">
        <x:v>0</x:v>
      </x:c>
      <x:c r="J419" s="16" t="n">
        <x:v>0</x:v>
      </x:c>
      <x:c r="K419" s="14" t="n">
        <x:v>4</x:v>
      </x:c>
      <x:c r="L419" s="14" t="n">
        <x:v>1</x:v>
      </x:c>
      <x:c r="M419" t="str">
        <x:v>READY</x:v>
      </x:c>
      <x:c r="N419" t="str">
        <x:v>AKTIF</x:v>
      </x:c>
      <x:c r="O419" t="str"/>
      <x:c r="P419" t="str"/>
      <x:c r="Q419" t="str"/>
      <x:c r="R419" t="str"/>
      <x:c r="S419" t="str"/>
      <x:c r="T419" t="str"/>
      <x:c r="U419" s="18" t="n">
        <x:v>46134.041666666664</x:v>
      </x:c>
      <x:c r="V419" t="str">
        <x:v>INITIAL_IMPORT</x:v>
      </x:c>
    </x:row>
    <x:row r="420">
      <x:c r="A420" t="str">
        <x:v>PRD-JVS-0419</x:v>
      </x:c>
      <x:c r="B420" t="str">
        <x:v>JVS-0419</x:v>
      </x:c>
      <x:c r="C420" t="str">
        <x:v>Lis Botol Dada Depan Vespa PX PS</x:v>
      </x:c>
      <x:c r="D420" t="str">
        <x:v>Aksesoris</x:v>
      </x:c>
      <x:c r="E420" t="str">
        <x:v>PX, PS</x:v>
      </x:c>
      <x:c r="F420" t="str"/>
      <x:c r="G420" s="12" t="n">
        <x:v>88</x:v>
      </x:c>
      <x:c r="H420" s="12" t="n">
        <x:v>88</x:v>
      </x:c>
      <x:c r="I420" s="12" t="n">
        <x:v>0</x:v>
      </x:c>
      <x:c r="J420" s="16" t="n">
        <x:v>0</x:v>
      </x:c>
      <x:c r="K420" s="14" t="n">
        <x:v>1</x:v>
      </x:c>
      <x:c r="L420" s="14" t="n">
        <x:v>1</x:v>
      </x:c>
      <x:c r="M420" t="str">
        <x:v>LOW</x:v>
      </x:c>
      <x:c r="N420" t="str">
        <x:v>AKTIF</x:v>
      </x:c>
      <x:c r="O420" t="str"/>
      <x:c r="P420" t="str"/>
      <x:c r="Q420" t="str"/>
      <x:c r="R420" t="str"/>
      <x:c r="S420" t="str"/>
      <x:c r="T420" t="str"/>
      <x:c r="U420" s="18" t="n">
        <x:v>46134.041666666664</x:v>
      </x:c>
      <x:c r="V420" t="str">
        <x:v>INITIAL_IMPORT</x:v>
      </x:c>
    </x:row>
    <x:row r="421">
      <x:c r="A421" t="str">
        <x:v>PRD-JVS-0420</x:v>
      </x:c>
      <x:c r="B421" t="str">
        <x:v>JVS-0420</x:v>
      </x:c>
      <x:c r="C421" t="str">
        <x:v>Lis Dada Plastik Chrome Vespa Semua</x:v>
      </x:c>
      <x:c r="D421" t="str">
        <x:v>Aksesoris</x:v>
      </x:c>
      <x:c r="E421" t="str"/>
      <x:c r="F421" t="str"/>
      <x:c r="G421" s="12" t="n">
        <x:v>135</x:v>
      </x:c>
      <x:c r="H421" s="12" t="n">
        <x:v>135</x:v>
      </x:c>
      <x:c r="I421" s="12" t="n">
        <x:v>0</x:v>
      </x:c>
      <x:c r="J421" s="16" t="n">
        <x:v>0</x:v>
      </x:c>
      <x:c r="K421" s="14" t="n">
        <x:v>1</x:v>
      </x:c>
      <x:c r="L421" s="14" t="n">
        <x:v>1</x:v>
      </x:c>
      <x:c r="M421" t="str">
        <x:v>LOW</x:v>
      </x:c>
      <x:c r="N421" t="str">
        <x:v>AKTIF</x:v>
      </x:c>
      <x:c r="O421" t="str"/>
      <x:c r="P421" t="str"/>
      <x:c r="Q421" t="str"/>
      <x:c r="R421" t="str"/>
      <x:c r="S421" t="str"/>
      <x:c r="T421" t="str"/>
      <x:c r="U421" s="18" t="n">
        <x:v>46134.041666666664</x:v>
      </x:c>
      <x:c r="V421" t="str">
        <x:v>INITIAL_IMPORT</x:v>
      </x:c>
    </x:row>
    <x:row r="422">
      <x:c r="A422" t="str">
        <x:v>PRD-JVS-0421</x:v>
      </x:c>
      <x:c r="B422" t="str">
        <x:v>JVS-0421</x:v>
      </x:c>
      <x:c r="C422" t="str">
        <x:v>Lis Dada Plastik Hitam Vespa Semua</x:v>
      </x:c>
      <x:c r="D422" t="str">
        <x:v>Aksesoris</x:v>
      </x:c>
      <x:c r="E422" t="str"/>
      <x:c r="F422" t="str"/>
      <x:c r="G422" s="12" t="n">
        <x:v>45</x:v>
      </x:c>
      <x:c r="H422" s="12" t="n">
        <x:v>45</x:v>
      </x:c>
      <x:c r="I422" s="12" t="n">
        <x:v>0</x:v>
      </x:c>
      <x:c r="J422" s="16" t="n">
        <x:v>0</x:v>
      </x:c>
      <x:c r="K422" s="14" t="n">
        <x:v>1</x:v>
      </x:c>
      <x:c r="L422" s="14" t="n">
        <x:v>1</x:v>
      </x:c>
      <x:c r="M422" t="str">
        <x:v>LOW</x:v>
      </x:c>
      <x:c r="N422" t="str">
        <x:v>AKTIF</x:v>
      </x:c>
      <x:c r="O422" t="str"/>
      <x:c r="P422" t="str"/>
      <x:c r="Q422" t="str"/>
      <x:c r="R422" t="str"/>
      <x:c r="S422" t="str"/>
      <x:c r="T422" t="str"/>
      <x:c r="U422" s="18" t="n">
        <x:v>46134.041666666664</x:v>
      </x:c>
      <x:c r="V422" t="str">
        <x:v>INITIAL_IMPORT</x:v>
      </x:c>
    </x:row>
    <x:row r="423">
      <x:c r="A423" t="str">
        <x:v>PRD-JVS-0422</x:v>
      </x:c>
      <x:c r="B423" t="str">
        <x:v>JVS-0422</x:v>
      </x:c>
      <x:c r="C423" t="str">
        <x:v>Lis Lidah tengah Pedang Chrome Lantai Tengah Vespa PX Set kiri kanan</x:v>
      </x:c>
      <x:c r="D423" t="str">
        <x:v>Aksesoris</x:v>
      </x:c>
      <x:c r="E423" t="str">
        <x:v>PX</x:v>
      </x:c>
      <x:c r="F423" t="str"/>
      <x:c r="G423" s="12" t="n">
        <x:v>25</x:v>
      </x:c>
      <x:c r="H423" s="12" t="n">
        <x:v>25</x:v>
      </x:c>
      <x:c r="I423" s="12" t="n">
        <x:v>0</x:v>
      </x:c>
      <x:c r="J423" s="16" t="n">
        <x:v>0</x:v>
      </x:c>
      <x:c r="K423" s="14" t="n">
        <x:v>3</x:v>
      </x:c>
      <x:c r="L423" s="14" t="n">
        <x:v>1</x:v>
      </x:c>
      <x:c r="M423" t="str">
        <x:v>READY</x:v>
      </x:c>
      <x:c r="N423" t="str">
        <x:v>AKTIF</x:v>
      </x:c>
      <x:c r="O423" t="str"/>
      <x:c r="P423" t="str"/>
      <x:c r="Q423" t="str"/>
      <x:c r="R423" t="str"/>
      <x:c r="S423" t="str"/>
      <x:c r="T423" t="str"/>
      <x:c r="U423" s="18" t="n">
        <x:v>46134.041666666664</x:v>
      </x:c>
      <x:c r="V423" t="str">
        <x:v>INITIAL_IMPORT</x:v>
      </x:c>
    </x:row>
    <x:row r="424">
      <x:c r="A424" t="str">
        <x:v>PRD-JVS-0423</x:v>
      </x:c>
      <x:c r="B424" t="str">
        <x:v>JVS-0423</x:v>
      </x:c>
      <x:c r="C424" t="str">
        <x:v>Lis Lidah tengah Pedang Chrome Lantai Tengah Vespa Super Set kiri kanan</x:v>
      </x:c>
      <x:c r="D424" t="str">
        <x:v>Servis</x:v>
      </x:c>
      <x:c r="E424" t="str">
        <x:v>SUPER</x:v>
      </x:c>
      <x:c r="F424" t="str"/>
      <x:c r="G424" s="12" t="n">
        <x:v>25</x:v>
      </x:c>
      <x:c r="H424" s="12" t="n">
        <x:v>25</x:v>
      </x:c>
      <x:c r="I424" s="12" t="n">
        <x:v>0</x:v>
      </x:c>
      <x:c r="J424" s="16" t="n">
        <x:v>0</x:v>
      </x:c>
      <x:c r="K424" s="14" t="n">
        <x:v>3</x:v>
      </x:c>
      <x:c r="L424" s="14" t="n">
        <x:v>1</x:v>
      </x:c>
      <x:c r="M424" t="str">
        <x:v>READY</x:v>
      </x:c>
      <x:c r="N424" t="str">
        <x:v>AKTIF</x:v>
      </x:c>
      <x:c r="O424" t="str"/>
      <x:c r="P424" t="str"/>
      <x:c r="Q424" t="str"/>
      <x:c r="R424" t="str"/>
      <x:c r="S424" t="str"/>
      <x:c r="T424" t="str"/>
      <x:c r="U424" s="18" t="n">
        <x:v>46134.041666666664</x:v>
      </x:c>
      <x:c r="V424" t="str">
        <x:v>INITIAL_IMPORT</x:v>
      </x:c>
    </x:row>
    <x:row r="425">
      <x:c r="A425" t="str">
        <x:v>PRD-JVS-0424</x:v>
      </x:c>
      <x:c r="B425" t="str">
        <x:v>JVS-0424</x:v>
      </x:c>
      <x:c r="C425" t="str">
        <x:v>Lis Sabit Bulan Lis Tepong dan Spakbor Set isi 4 Vespa Super Sprint VBB Besi Chrome</x:v>
      </x:c>
      <x:c r="D425" t="str">
        <x:v>Body</x:v>
      </x:c>
      <x:c r="E425" t="str">
        <x:v>SUPER, SPRINT, VBB</x:v>
      </x:c>
      <x:c r="F425" t="str"/>
      <x:c r="G425" s="12" t="str"/>
      <x:c r="H425" s="12" t="str"/>
      <x:c r="I425" s="12" t="str"/>
      <x:c r="J425" s="16" t="str"/>
      <x:c r="K425" s="14" t="n">
        <x:v>0</x:v>
      </x:c>
      <x:c r="L425" s="14" t="n">
        <x:v>1</x:v>
      </x:c>
      <x:c r="M425" t="str">
        <x:v>OUT OF STOCK</x:v>
      </x:c>
      <x:c r="N425" t="str">
        <x:v>AKTIF</x:v>
      </x:c>
      <x:c r="O425" t="str"/>
      <x:c r="P425" t="str"/>
      <x:c r="Q425" t="str"/>
      <x:c r="R425" t="str"/>
      <x:c r="S425" t="str"/>
      <x:c r="T425" t="str"/>
      <x:c r="U425" s="18" t="n">
        <x:v>46134.041666666664</x:v>
      </x:c>
      <x:c r="V425" t="str">
        <x:v>INITIAL_IMPORT</x:v>
      </x:c>
    </x:row>
    <x:row r="426">
      <x:c r="A426" t="str">
        <x:v>PRD-JVS-0425</x:v>
      </x:c>
      <x:c r="B426" t="str">
        <x:v>JVS-0425</x:v>
      </x:c>
      <x:c r="C426" t="str">
        <x:v>Maghnet Vespa Excel Danmotor</x:v>
      </x:c>
      <x:c r="D426" t="str">
        <x:v>Aksesoris</x:v>
      </x:c>
      <x:c r="E426" t="str">
        <x:v>EXCEL</x:v>
      </x:c>
      <x:c r="F426" t="str"/>
      <x:c r="G426" s="12" t="n">
        <x:v>800</x:v>
      </x:c>
      <x:c r="H426" s="12" t="n">
        <x:v>800</x:v>
      </x:c>
      <x:c r="I426" s="12" t="n">
        <x:v>0</x:v>
      </x:c>
      <x:c r="J426" s="16" t="n">
        <x:v>0</x:v>
      </x:c>
      <x:c r="K426" s="14" t="n">
        <x:v>1</x:v>
      </x:c>
      <x:c r="L426" s="14" t="n">
        <x:v>1</x:v>
      </x:c>
      <x:c r="M426" t="str">
        <x:v>LOW</x:v>
      </x:c>
      <x:c r="N426" t="str">
        <x:v>AKTIF</x:v>
      </x:c>
      <x:c r="O426" t="str"/>
      <x:c r="P426" t="str"/>
      <x:c r="Q426" t="str"/>
      <x:c r="R426" t="str"/>
      <x:c r="S426" t="str"/>
      <x:c r="T426" t="str"/>
      <x:c r="U426" s="18" t="n">
        <x:v>46134.041666666664</x:v>
      </x:c>
      <x:c r="V426" t="str">
        <x:v>INITIAL_IMPORT</x:v>
      </x:c>
    </x:row>
    <x:row r="427">
      <x:c r="A427" t="str">
        <x:v>PRD-JVS-0426</x:v>
      </x:c>
      <x:c r="B427" t="str">
        <x:v>JVS-0426</x:v>
      </x:c>
      <x:c r="C427" t="str">
        <x:v>Mangkok Kopling Merk Danmotor Per 6</x:v>
      </x:c>
      <x:c r="D427" t="str">
        <x:v>Mesin</x:v>
      </x:c>
      <x:c r="E427" t="str"/>
      <x:c r="F427" t="str"/>
      <x:c r="G427" s="12" t="n">
        <x:v>75</x:v>
      </x:c>
      <x:c r="H427" s="12" t="n">
        <x:v>75</x:v>
      </x:c>
      <x:c r="I427" s="12" t="n">
        <x:v>0</x:v>
      </x:c>
      <x:c r="J427" s="16" t="n">
        <x:v>0</x:v>
      </x:c>
      <x:c r="K427" s="14" t="n">
        <x:v>2</x:v>
      </x:c>
      <x:c r="L427" s="14" t="n">
        <x:v>1</x:v>
      </x:c>
      <x:c r="M427" t="str">
        <x:v>READY</x:v>
      </x:c>
      <x:c r="N427" t="str">
        <x:v>AKTIF</x:v>
      </x:c>
      <x:c r="O427" t="str"/>
      <x:c r="P427" t="str"/>
      <x:c r="Q427" t="str"/>
      <x:c r="R427" t="str"/>
      <x:c r="S427" t="str"/>
      <x:c r="T427" t="str"/>
      <x:c r="U427" s="18" t="n">
        <x:v>46134.041666666664</x:v>
      </x:c>
      <x:c r="V427" t="str">
        <x:v>INITIAL_IMPORT</x:v>
      </x:c>
    </x:row>
    <x:row r="428">
      <x:c r="A428" t="str">
        <x:v>PRD-JVS-0427</x:v>
      </x:c>
      <x:c r="B428" t="str">
        <x:v>JVS-0427</x:v>
      </x:c>
      <x:c r="C428" t="str">
        <x:v>Mangkok Kopling Merk Danmotor Per 7</x:v>
      </x:c>
      <x:c r="D428" t="str">
        <x:v>Mesin</x:v>
      </x:c>
      <x:c r="E428" t="str"/>
      <x:c r="F428" t="str"/>
      <x:c r="G428" s="12" t="n">
        <x:v>95</x:v>
      </x:c>
      <x:c r="H428" s="12" t="n">
        <x:v>95</x:v>
      </x:c>
      <x:c r="I428" s="12" t="n">
        <x:v>0</x:v>
      </x:c>
      <x:c r="J428" s="16" t="n">
        <x:v>0</x:v>
      </x:c>
      <x:c r="K428" s="14" t="n">
        <x:v>1</x:v>
      </x:c>
      <x:c r="L428" s="14" t="n">
        <x:v>1</x:v>
      </x:c>
      <x:c r="M428" t="str">
        <x:v>LOW</x:v>
      </x:c>
      <x:c r="N428" t="str">
        <x:v>AKTIF</x:v>
      </x:c>
      <x:c r="O428" t="str"/>
      <x:c r="P428" t="str"/>
      <x:c r="Q428" t="str"/>
      <x:c r="R428" t="str"/>
      <x:c r="S428" t="str"/>
      <x:c r="T428" t="str"/>
      <x:c r="U428" s="18" t="n">
        <x:v>46134.041666666664</x:v>
      </x:c>
      <x:c r="V428" t="str">
        <x:v>INITIAL_IMPORT</x:v>
      </x:c>
    </x:row>
    <x:row r="429">
      <x:c r="A429" t="str">
        <x:v>PRD-JVS-0428</x:v>
      </x:c>
      <x:c r="B429" t="str">
        <x:v>JVS-0428</x:v>
      </x:c>
      <x:c r="C429" t="str">
        <x:v>Mangkok Kopling Per 6 Biasa</x:v>
      </x:c>
      <x:c r="D429" t="str">
        <x:v>Mesin</x:v>
      </x:c>
      <x:c r="E429" t="str"/>
      <x:c r="F429" t="str"/>
      <x:c r="G429" s="12" t="n">
        <x:v>37.5</x:v>
      </x:c>
      <x:c r="H429" s="12" t="n">
        <x:v>37.5</x:v>
      </x:c>
      <x:c r="I429" s="12" t="n">
        <x:v>0</x:v>
      </x:c>
      <x:c r="J429" s="16" t="n">
        <x:v>0</x:v>
      </x:c>
      <x:c r="K429" s="14" t="n">
        <x:v>2</x:v>
      </x:c>
      <x:c r="L429" s="14" t="n">
        <x:v>1</x:v>
      </x:c>
      <x:c r="M429" t="str">
        <x:v>READY</x:v>
      </x:c>
      <x:c r="N429" t="str">
        <x:v>AKTIF</x:v>
      </x:c>
      <x:c r="O429" t="str"/>
      <x:c r="P429" t="str"/>
      <x:c r="Q429" t="str"/>
      <x:c r="R429" t="str"/>
      <x:c r="S429" t="str"/>
      <x:c r="T429" t="str"/>
      <x:c r="U429" s="18" t="n">
        <x:v>46134.041666666664</x:v>
      </x:c>
      <x:c r="V429" t="str">
        <x:v>INITIAL_IMPORT</x:v>
      </x:c>
    </x:row>
    <x:row r="430">
      <x:c r="A430" t="str">
        <x:v>PRD-JVS-0429</x:v>
      </x:c>
      <x:c r="B430" t="str">
        <x:v>JVS-0429</x:v>
      </x:c>
      <x:c r="C430" t="str">
        <x:v>Mangkok Kopling Per 7 Biasa</x:v>
      </x:c>
      <x:c r="D430" t="str">
        <x:v>Mesin</x:v>
      </x:c>
      <x:c r="E430" t="str"/>
      <x:c r="F430" t="str"/>
      <x:c r="G430" s="12" t="n">
        <x:v>45</x:v>
      </x:c>
      <x:c r="H430" s="12" t="n">
        <x:v>45</x:v>
      </x:c>
      <x:c r="I430" s="12" t="n">
        <x:v>0</x:v>
      </x:c>
      <x:c r="J430" s="16" t="n">
        <x:v>0</x:v>
      </x:c>
      <x:c r="K430" s="14" t="n">
        <x:v>1</x:v>
      </x:c>
      <x:c r="L430" s="14" t="n">
        <x:v>1</x:v>
      </x:c>
      <x:c r="M430" t="str">
        <x:v>LOW</x:v>
      </x:c>
      <x:c r="N430" t="str">
        <x:v>AKTIF</x:v>
      </x:c>
      <x:c r="O430" t="str"/>
      <x:c r="P430" t="str"/>
      <x:c r="Q430" t="str"/>
      <x:c r="R430" t="str"/>
      <x:c r="S430" t="str"/>
      <x:c r="T430" t="str"/>
      <x:c r="U430" s="18" t="n">
        <x:v>46134.041666666664</x:v>
      </x:c>
      <x:c r="V430" t="str">
        <x:v>INITIAL_IMPORT</x:v>
      </x:c>
    </x:row>
    <x:row r="431">
      <x:c r="A431" t="str">
        <x:v>PRD-JVS-0430</x:v>
      </x:c>
      <x:c r="B431" t="str">
        <x:v>JVS-0430</x:v>
      </x:c>
      <x:c r="C431" t="str">
        <x:v>Master rem Variasi Brembo kanan master kiri handle</x:v>
      </x:c>
      <x:c r="D431" t="str">
        <x:v>Kaki-Kaki</x:v>
      </x:c>
      <x:c r="E431" t="str"/>
      <x:c r="F431" t="str"/>
      <x:c r="G431" s="12" t="str"/>
      <x:c r="H431" s="12" t="str"/>
      <x:c r="I431" s="12" t="str"/>
      <x:c r="J431" s="16" t="str"/>
      <x:c r="K431" s="14" t="n">
        <x:v>0</x:v>
      </x:c>
      <x:c r="L431" s="14" t="n">
        <x:v>1</x:v>
      </x:c>
      <x:c r="M431" t="str">
        <x:v>OUT OF STOCK</x:v>
      </x:c>
      <x:c r="N431" t="str">
        <x:v>AKTIF</x:v>
      </x:c>
      <x:c r="O431" t="str"/>
      <x:c r="P431" t="str"/>
      <x:c r="Q431" t="str"/>
      <x:c r="R431" t="str"/>
      <x:c r="S431" t="str"/>
      <x:c r="T431" t="str"/>
      <x:c r="U431" s="18" t="n">
        <x:v>46134.041666666664</x:v>
      </x:c>
      <x:c r="V431" t="str">
        <x:v>INITIAL_IMPORT</x:v>
      </x:c>
    </x:row>
    <x:row r="432">
      <x:c r="A432" t="str">
        <x:v>PRD-JVS-0431</x:v>
      </x:c>
      <x:c r="B432" t="str">
        <x:v>JVS-0431</x:v>
      </x:c>
      <x:c r="C432" t="str">
        <x:v>Membran RX King</x:v>
      </x:c>
      <x:c r="D432" t="str">
        <x:v>Aksesoris</x:v>
      </x:c>
      <x:c r="E432" t="str"/>
      <x:c r="F432" t="str"/>
      <x:c r="G432" s="12" t="n">
        <x:v>30</x:v>
      </x:c>
      <x:c r="H432" s="12" t="n">
        <x:v>30</x:v>
      </x:c>
      <x:c r="I432" s="12" t="n">
        <x:v>0</x:v>
      </x:c>
      <x:c r="J432" s="16" t="n">
        <x:v>0</x:v>
      </x:c>
      <x:c r="K432" s="14" t="n">
        <x:v>5</x:v>
      </x:c>
      <x:c r="L432" s="14" t="n">
        <x:v>1</x:v>
      </x:c>
      <x:c r="M432" t="str">
        <x:v>READY</x:v>
      </x:c>
      <x:c r="N432" t="str">
        <x:v>AKTIF</x:v>
      </x:c>
      <x:c r="O432" t="str"/>
      <x:c r="P432" t="str"/>
      <x:c r="Q432" t="str"/>
      <x:c r="R432" t="str"/>
      <x:c r="S432" t="str"/>
      <x:c r="T432" t="str"/>
      <x:c r="U432" s="18" t="n">
        <x:v>46134.041666666664</x:v>
      </x:c>
      <x:c r="V432" t="str">
        <x:v>INITIAL_IMPORT</x:v>
      </x:c>
    </x:row>
    <x:row r="433">
      <x:c r="A433" t="str">
        <x:v>PRD-JVS-0432</x:v>
      </x:c>
      <x:c r="B433" t="str">
        <x:v>JVS-0432</x:v>
      </x:c>
      <x:c r="C433" t="str">
        <x:v>Mika Sein Depan Belakang Set Vespa Excel Bening Clear</x:v>
      </x:c>
      <x:c r="D433" t="str">
        <x:v>Aksesoris</x:v>
      </x:c>
      <x:c r="E433" t="str">
        <x:v>EXCEL</x:v>
      </x:c>
      <x:c r="F433" t="str"/>
      <x:c r="G433" s="12" t="n">
        <x:v>35</x:v>
      </x:c>
      <x:c r="H433" s="12" t="n">
        <x:v>35</x:v>
      </x:c>
      <x:c r="I433" s="12" t="n">
        <x:v>0</x:v>
      </x:c>
      <x:c r="J433" s="16" t="n">
        <x:v>0</x:v>
      </x:c>
      <x:c r="K433" s="14" t="n">
        <x:v>2</x:v>
      </x:c>
      <x:c r="L433" s="14" t="n">
        <x:v>1</x:v>
      </x:c>
      <x:c r="M433" t="str">
        <x:v>READY</x:v>
      </x:c>
      <x:c r="N433" t="str">
        <x:v>AKTIF</x:v>
      </x:c>
      <x:c r="O433" t="str"/>
      <x:c r="P433" t="str"/>
      <x:c r="Q433" t="str"/>
      <x:c r="R433" t="str"/>
      <x:c r="S433" t="str"/>
      <x:c r="T433" t="str"/>
      <x:c r="U433" s="18" t="n">
        <x:v>46134.041666666664</x:v>
      </x:c>
      <x:c r="V433" t="str">
        <x:v>INITIAL_IMPORT</x:v>
      </x:c>
    </x:row>
    <x:row r="434">
      <x:c r="A434" t="str">
        <x:v>PRD-JVS-0433</x:v>
      </x:c>
      <x:c r="B434" t="str">
        <x:v>JVS-0433</x:v>
      </x:c>
      <x:c r="C434" t="str">
        <x:v>Mika Sein Depan Belakang Set Vespa Excel Kuning</x:v>
      </x:c>
      <x:c r="D434" t="str">
        <x:v>Aksesoris</x:v>
      </x:c>
      <x:c r="E434" t="str">
        <x:v>EXCEL</x:v>
      </x:c>
      <x:c r="F434" t="str"/>
      <x:c r="G434" s="12" t="n">
        <x:v>25</x:v>
      </x:c>
      <x:c r="H434" s="12" t="n">
        <x:v>25</x:v>
      </x:c>
      <x:c r="I434" s="12" t="n">
        <x:v>0</x:v>
      </x:c>
      <x:c r="J434" s="16" t="n">
        <x:v>0</x:v>
      </x:c>
      <x:c r="K434" s="14" t="n">
        <x:v>3</x:v>
      </x:c>
      <x:c r="L434" s="14" t="n">
        <x:v>1</x:v>
      </x:c>
      <x:c r="M434" t="str">
        <x:v>READY</x:v>
      </x:c>
      <x:c r="N434" t="str">
        <x:v>AKTIF</x:v>
      </x:c>
      <x:c r="O434" t="str"/>
      <x:c r="P434" t="str"/>
      <x:c r="Q434" t="str"/>
      <x:c r="R434" t="str"/>
      <x:c r="S434" t="str"/>
      <x:c r="T434" t="str"/>
      <x:c r="U434" s="18" t="n">
        <x:v>46134.041666666664</x:v>
      </x:c>
      <x:c r="V434" t="str">
        <x:v>INITIAL_IMPORT</x:v>
      </x:c>
    </x:row>
    <x:row r="435">
      <x:c r="A435" t="str">
        <x:v>PRD-JVS-0434</x:v>
      </x:c>
      <x:c r="B435" t="str">
        <x:v>JVS-0434</x:v>
      </x:c>
      <x:c r="C435" t="str">
        <x:v>Mika Sein Depan Belakang Set Vespa Excel Smoke hitam</x:v>
      </x:c>
      <x:c r="D435" t="str">
        <x:v>Aksesoris</x:v>
      </x:c>
      <x:c r="E435" t="str">
        <x:v>EXCEL</x:v>
      </x:c>
      <x:c r="F435" t="str"/>
      <x:c r="G435" s="12" t="n">
        <x:v>35</x:v>
      </x:c>
      <x:c r="H435" s="12" t="n">
        <x:v>35</x:v>
      </x:c>
      <x:c r="I435" s="12" t="n">
        <x:v>0</x:v>
      </x:c>
      <x:c r="J435" s="16" t="n">
        <x:v>0</x:v>
      </x:c>
      <x:c r="K435" s="14" t="n">
        <x:v>5</x:v>
      </x:c>
      <x:c r="L435" s="14" t="n">
        <x:v>1</x:v>
      </x:c>
      <x:c r="M435" t="str">
        <x:v>READY</x:v>
      </x:c>
      <x:c r="N435" t="str">
        <x:v>AKTIF</x:v>
      </x:c>
      <x:c r="O435" t="str"/>
      <x:c r="P435" t="str"/>
      <x:c r="Q435" t="str"/>
      <x:c r="R435" t="str"/>
      <x:c r="S435" t="str"/>
      <x:c r="T435" t="str"/>
      <x:c r="U435" s="18" t="n">
        <x:v>46134.041666666664</x:v>
      </x:c>
      <x:c r="V435" t="str">
        <x:v>INITIAL_IMPORT</x:v>
      </x:c>
    </x:row>
    <x:row r="436">
      <x:c r="A436" t="str">
        <x:v>PRD-JVS-0435</x:v>
      </x:c>
      <x:c r="B436" t="str">
        <x:v>JVS-0435</x:v>
      </x:c>
      <x:c r="C436" t="str">
        <x:v>Mika Sein Depan Belakang Set Vespa PX Kuning</x:v>
      </x:c>
      <x:c r="D436" t="str">
        <x:v>Aksesoris</x:v>
      </x:c>
      <x:c r="E436" t="str">
        <x:v>PX</x:v>
      </x:c>
      <x:c r="F436" t="str"/>
      <x:c r="G436" s="12" t="n">
        <x:v>25</x:v>
      </x:c>
      <x:c r="H436" s="12" t="n">
        <x:v>25</x:v>
      </x:c>
      <x:c r="I436" s="12" t="n">
        <x:v>0</x:v>
      </x:c>
      <x:c r="J436" s="16" t="n">
        <x:v>0</x:v>
      </x:c>
      <x:c r="K436" s="14" t="n">
        <x:v>3</x:v>
      </x:c>
      <x:c r="L436" s="14" t="n">
        <x:v>1</x:v>
      </x:c>
      <x:c r="M436" t="str">
        <x:v>READY</x:v>
      </x:c>
      <x:c r="N436" t="str">
        <x:v>AKTIF</x:v>
      </x:c>
      <x:c r="O436" t="str"/>
      <x:c r="P436" t="str"/>
      <x:c r="Q436" t="str"/>
      <x:c r="R436" t="str"/>
      <x:c r="S436" t="str"/>
      <x:c r="T436" t="str"/>
      <x:c r="U436" s="18" t="n">
        <x:v>46134.041666666664</x:v>
      </x:c>
      <x:c r="V436" t="str">
        <x:v>INITIAL_IMPORT</x:v>
      </x:c>
    </x:row>
    <x:row r="437">
      <x:c r="A437" t="str">
        <x:v>PRD-JVS-0436</x:v>
      </x:c>
      <x:c r="B437" t="str">
        <x:v>JVS-0436</x:v>
      </x:c>
      <x:c r="C437" t="str">
        <x:v>Mika Sein Depan Belakang Set Vespa PX Putih Clear Bening</x:v>
      </x:c>
      <x:c r="D437" t="str">
        <x:v>Aksesoris</x:v>
      </x:c>
      <x:c r="E437" t="str">
        <x:v>PX</x:v>
      </x:c>
      <x:c r="F437" t="str"/>
      <x:c r="G437" s="12" t="n">
        <x:v>35</x:v>
      </x:c>
      <x:c r="H437" s="12" t="n">
        <x:v>35</x:v>
      </x:c>
      <x:c r="I437" s="12" t="n">
        <x:v>0</x:v>
      </x:c>
      <x:c r="J437" s="16" t="n">
        <x:v>0</x:v>
      </x:c>
      <x:c r="K437" s="14" t="n">
        <x:v>4</x:v>
      </x:c>
      <x:c r="L437" s="14" t="n">
        <x:v>1</x:v>
      </x:c>
      <x:c r="M437" t="str">
        <x:v>READY</x:v>
      </x:c>
      <x:c r="N437" t="str">
        <x:v>AKTIF</x:v>
      </x:c>
      <x:c r="O437" t="str"/>
      <x:c r="P437" t="str"/>
      <x:c r="Q437" t="str"/>
      <x:c r="R437" t="str"/>
      <x:c r="S437" t="str"/>
      <x:c r="T437" t="str"/>
      <x:c r="U437" s="18" t="n">
        <x:v>46134.041666666664</x:v>
      </x:c>
      <x:c r="V437" t="str">
        <x:v>INITIAL_IMPORT</x:v>
      </x:c>
    </x:row>
    <x:row r="438">
      <x:c r="A438" t="str">
        <x:v>PRD-JVS-0437</x:v>
      </x:c>
      <x:c r="B438" t="str">
        <x:v>JVS-0437</x:v>
      </x:c>
      <x:c r="C438" t="str">
        <x:v>Mika Sein Depan Belakang Set Vespa PX Smoke hitam</x:v>
      </x:c>
      <x:c r="D438" t="str">
        <x:v>Aksesoris</x:v>
      </x:c>
      <x:c r="E438" t="str">
        <x:v>PX</x:v>
      </x:c>
      <x:c r="F438" t="str"/>
      <x:c r="G438" s="12" t="n">
        <x:v>35</x:v>
      </x:c>
      <x:c r="H438" s="12" t="n">
        <x:v>35</x:v>
      </x:c>
      <x:c r="I438" s="12" t="n">
        <x:v>0</x:v>
      </x:c>
      <x:c r="J438" s="16" t="n">
        <x:v>0</x:v>
      </x:c>
      <x:c r="K438" s="14" t="n">
        <x:v>1</x:v>
      </x:c>
      <x:c r="L438" s="14" t="n">
        <x:v>1</x:v>
      </x:c>
      <x:c r="M438" t="str">
        <x:v>LOW</x:v>
      </x:c>
      <x:c r="N438" t="str">
        <x:v>AKTIF</x:v>
      </x:c>
      <x:c r="O438" t="str"/>
      <x:c r="P438" t="str"/>
      <x:c r="Q438" t="str"/>
      <x:c r="R438" t="str"/>
      <x:c r="S438" t="str"/>
      <x:c r="T438" t="str"/>
      <x:c r="U438" s="18" t="n">
        <x:v>46134.041666666664</x:v>
      </x:c>
      <x:c r="V438" t="str">
        <x:v>INITIAL_IMPORT</x:v>
      </x:c>
    </x:row>
    <x:row r="439">
      <x:c r="A439" t="str">
        <x:v>PRD-JVS-0438</x:v>
      </x:c>
      <x:c r="B439" t="str">
        <x:v>JVS-0438</x:v>
      </x:c>
      <x:c r="C439" t="str">
        <x:v>Mika Spedometer Vespa Excel</x:v>
      </x:c>
      <x:c r="D439" t="str">
        <x:v>Body</x:v>
      </x:c>
      <x:c r="E439" t="str">
        <x:v>EXCEL</x:v>
      </x:c>
      <x:c r="F439" t="str"/>
      <x:c r="G439" s="12" t="str"/>
      <x:c r="H439" s="12" t="str"/>
      <x:c r="I439" s="12" t="str"/>
      <x:c r="J439" s="16" t="str"/>
      <x:c r="K439" s="14" t="n">
        <x:v>3</x:v>
      </x:c>
      <x:c r="L439" s="14" t="n">
        <x:v>1</x:v>
      </x:c>
      <x:c r="M439" t="str">
        <x:v>READY</x:v>
      </x:c>
      <x:c r="N439" t="str">
        <x:v>AKTIF</x:v>
      </x:c>
      <x:c r="O439" t="str"/>
      <x:c r="P439" t="str"/>
      <x:c r="Q439" t="str"/>
      <x:c r="R439" t="str"/>
      <x:c r="S439" t="str"/>
      <x:c r="T439" t="str"/>
      <x:c r="U439" s="18" t="n">
        <x:v>46134.041666666664</x:v>
      </x:c>
      <x:c r="V439" t="str">
        <x:v>INITIAL_IMPORT</x:v>
      </x:c>
    </x:row>
    <x:row r="440">
      <x:c r="A440" t="str">
        <x:v>PRD-JVS-0439</x:v>
      </x:c>
      <x:c r="B440" t="str">
        <x:v>JVS-0439</x:v>
      </x:c>
      <x:c r="C440" t="str">
        <x:v>Mika Spedometer Vespa Exclusive</x:v>
      </x:c>
      <x:c r="D440" t="str">
        <x:v>Body</x:v>
      </x:c>
      <x:c r="E440" t="str">
        <x:v>EXCLUSIVE</x:v>
      </x:c>
      <x:c r="F440" t="str"/>
      <x:c r="G440" s="12" t="n">
        <x:v>40</x:v>
      </x:c>
      <x:c r="H440" s="12" t="n">
        <x:v>40</x:v>
      </x:c>
      <x:c r="I440" s="12" t="n">
        <x:v>0</x:v>
      </x:c>
      <x:c r="J440" s="16" t="n">
        <x:v>0</x:v>
      </x:c>
      <x:c r="K440" s="14" t="n">
        <x:v>3</x:v>
      </x:c>
      <x:c r="L440" s="14" t="n">
        <x:v>1</x:v>
      </x:c>
      <x:c r="M440" t="str">
        <x:v>READY</x:v>
      </x:c>
      <x:c r="N440" t="str">
        <x:v>AKTIF</x:v>
      </x:c>
      <x:c r="O440" t="str"/>
      <x:c r="P440" t="str"/>
      <x:c r="Q440" t="str"/>
      <x:c r="R440" t="str"/>
      <x:c r="S440" t="str"/>
      <x:c r="T440" t="str"/>
      <x:c r="U440" s="18" t="n">
        <x:v>46134.041666666664</x:v>
      </x:c>
      <x:c r="V440" t="str">
        <x:v>INITIAL_IMPORT</x:v>
      </x:c>
    </x:row>
    <x:row r="441">
      <x:c r="A441" t="str">
        <x:v>PRD-JVS-0440</x:v>
      </x:c>
      <x:c r="B441" t="str">
        <x:v>JVS-0440</x:v>
      </x:c>
      <x:c r="C441" t="str">
        <x:v>Mika Spedometer Vespa PX Bulat</x:v>
      </x:c>
      <x:c r="D441" t="str">
        <x:v>Body</x:v>
      </x:c>
      <x:c r="E441" t="str">
        <x:v>PX</x:v>
      </x:c>
      <x:c r="F441" t="str"/>
      <x:c r="G441" s="12" t="n">
        <x:v>10</x:v>
      </x:c>
      <x:c r="H441" s="12" t="n">
        <x:v>10</x:v>
      </x:c>
      <x:c r="I441" s="12" t="n">
        <x:v>0</x:v>
      </x:c>
      <x:c r="J441" s="16" t="n">
        <x:v>0</x:v>
      </x:c>
      <x:c r="K441" s="14" t="n">
        <x:v>2</x:v>
      </x:c>
      <x:c r="L441" s="14" t="n">
        <x:v>1</x:v>
      </x:c>
      <x:c r="M441" t="str">
        <x:v>READY</x:v>
      </x:c>
      <x:c r="N441" t="str">
        <x:v>AKTIF</x:v>
      </x:c>
      <x:c r="O441" t="str"/>
      <x:c r="P441" t="str"/>
      <x:c r="Q441" t="str"/>
      <x:c r="R441" t="str"/>
      <x:c r="S441" t="str"/>
      <x:c r="T441" t="str"/>
      <x:c r="U441" s="18" t="n">
        <x:v>46134.041666666664</x:v>
      </x:c>
      <x:c r="V441" t="str">
        <x:v>INITIAL_IMPORT</x:v>
      </x:c>
    </x:row>
    <x:row r="442">
      <x:c r="A442" t="str">
        <x:v>PRD-JVS-0441</x:v>
      </x:c>
      <x:c r="B442" t="str">
        <x:v>JVS-0441</x:v>
      </x:c>
      <x:c r="C442" t="str">
        <x:v>Mika Spedometer Vespa Sprint Jenong VBB</x:v>
      </x:c>
      <x:c r="D442" t="str">
        <x:v>Body</x:v>
      </x:c>
      <x:c r="E442" t="str">
        <x:v>SPRINT, VBB</x:v>
      </x:c>
      <x:c r="F442" t="str"/>
      <x:c r="G442" s="12" t="n">
        <x:v>13</x:v>
      </x:c>
      <x:c r="H442" s="12" t="n">
        <x:v>13</x:v>
      </x:c>
      <x:c r="I442" s="12" t="n">
        <x:v>0</x:v>
      </x:c>
      <x:c r="J442" s="16" t="n">
        <x:v>0</x:v>
      </x:c>
      <x:c r="K442" s="14" t="n">
        <x:v>3</x:v>
      </x:c>
      <x:c r="L442" s="14" t="n">
        <x:v>1</x:v>
      </x:c>
      <x:c r="M442" t="str">
        <x:v>READY</x:v>
      </x:c>
      <x:c r="N442" t="str">
        <x:v>AKTIF</x:v>
      </x:c>
      <x:c r="O442" t="str"/>
      <x:c r="P442" t="str"/>
      <x:c r="Q442" t="str"/>
      <x:c r="R442" t="str"/>
      <x:c r="S442" t="str"/>
      <x:c r="T442" t="str"/>
      <x:c r="U442" s="18" t="n">
        <x:v>46134.041666666664</x:v>
      </x:c>
      <x:c r="V442" t="str">
        <x:v>INITIAL_IMPORT</x:v>
      </x:c>
    </x:row>
    <x:row r="443">
      <x:c r="A443" t="str">
        <x:v>PRD-JVS-0442</x:v>
      </x:c>
      <x:c r="B443" t="str">
        <x:v>JVS-0442</x:v>
      </x:c>
      <x:c r="C443" t="str">
        <x:v>Mika Spedometer Vespa Super 78</x:v>
      </x:c>
      <x:c r="D443" t="str">
        <x:v>Body</x:v>
      </x:c>
      <x:c r="E443" t="str">
        <x:v>SUPER</x:v>
      </x:c>
      <x:c r="F443" t="str"/>
      <x:c r="G443" s="12" t="n">
        <x:v>13</x:v>
      </x:c>
      <x:c r="H443" s="12" t="n">
        <x:v>13</x:v>
      </x:c>
      <x:c r="I443" s="12" t="n">
        <x:v>0</x:v>
      </x:c>
      <x:c r="J443" s="16" t="n">
        <x:v>0</x:v>
      </x:c>
      <x:c r="K443" s="14" t="n">
        <x:v>3</x:v>
      </x:c>
      <x:c r="L443" s="14" t="n">
        <x:v>1</x:v>
      </x:c>
      <x:c r="M443" t="str">
        <x:v>READY</x:v>
      </x:c>
      <x:c r="N443" t="str">
        <x:v>AKTIF</x:v>
      </x:c>
      <x:c r="O443" t="str"/>
      <x:c r="P443" t="str"/>
      <x:c r="Q443" t="str"/>
      <x:c r="R443" t="str"/>
      <x:c r="S443" t="str"/>
      <x:c r="T443" t="str"/>
      <x:c r="U443" s="18" t="n">
        <x:v>46134.041666666664</x:v>
      </x:c>
      <x:c r="V443" t="str">
        <x:v>INITIAL_IMPORT</x:v>
      </x:c>
    </x:row>
    <x:row r="444">
      <x:c r="A444" t="str">
        <x:v>PRD-JVS-0443</x:v>
      </x:c>
      <x:c r="B444" t="str">
        <x:v>JVS-0443</x:v>
      </x:c>
      <x:c r="C444" t="str">
        <x:v>Mika Stoplamp Super 66 Merah Vespa Super Merah</x:v>
      </x:c>
      <x:c r="D444" t="str">
        <x:v>Body</x:v>
      </x:c>
      <x:c r="E444" t="str">
        <x:v>SUPER</x:v>
      </x:c>
      <x:c r="F444" t="str"/>
      <x:c r="G444" s="12" t="n">
        <x:v>25</x:v>
      </x:c>
      <x:c r="H444" s="12" t="n">
        <x:v>25</x:v>
      </x:c>
      <x:c r="I444" s="12" t="n">
        <x:v>0</x:v>
      </x:c>
      <x:c r="J444" s="16" t="n">
        <x:v>0</x:v>
      </x:c>
      <x:c r="K444" s="14" t="n">
        <x:v>4</x:v>
      </x:c>
      <x:c r="L444" s="14" t="n">
        <x:v>1</x:v>
      </x:c>
      <x:c r="M444" t="str">
        <x:v>READY</x:v>
      </x:c>
      <x:c r="N444" t="str">
        <x:v>AKTIF</x:v>
      </x:c>
      <x:c r="O444" t="str"/>
      <x:c r="P444" t="str"/>
      <x:c r="Q444" t="str"/>
      <x:c r="R444" t="str"/>
      <x:c r="S444" t="str"/>
      <x:c r="T444" t="str"/>
      <x:c r="U444" s="18" t="n">
        <x:v>46134.041666666664</x:v>
      </x:c>
      <x:c r="V444" t="str">
        <x:v>INITIAL_IMPORT</x:v>
      </x:c>
    </x:row>
    <x:row r="445">
      <x:c r="A445" t="str">
        <x:v>PRD-JVS-0444</x:v>
      </x:c>
      <x:c r="B445" t="str">
        <x:v>JVS-0444</x:v>
      </x:c>
      <x:c r="C445" t="str">
        <x:v>Mika Stoplamp VBB Belimbing Merah Import</x:v>
      </x:c>
      <x:c r="D445" t="str">
        <x:v>Body</x:v>
      </x:c>
      <x:c r="E445" t="str">
        <x:v>VBB</x:v>
      </x:c>
      <x:c r="F445" t="str"/>
      <x:c r="G445" s="12" t="str"/>
      <x:c r="H445" s="12" t="str"/>
      <x:c r="I445" s="12" t="str"/>
      <x:c r="J445" s="16" t="str"/>
      <x:c r="K445" s="14" t="n">
        <x:v>4</x:v>
      </x:c>
      <x:c r="L445" s="14" t="n">
        <x:v>1</x:v>
      </x:c>
      <x:c r="M445" t="str">
        <x:v>READY</x:v>
      </x:c>
      <x:c r="N445" t="str">
        <x:v>AKTIF</x:v>
      </x:c>
      <x:c r="O445" t="str"/>
      <x:c r="P445" t="str"/>
      <x:c r="Q445" t="str"/>
      <x:c r="R445" t="str"/>
      <x:c r="S445" t="str"/>
      <x:c r="T445" t="str"/>
      <x:c r="U445" s="18" t="n">
        <x:v>46134.041666666664</x:v>
      </x:c>
      <x:c r="V445" t="str">
        <x:v>INITIAL_IMPORT</x:v>
      </x:c>
    </x:row>
    <x:row r="446">
      <x:c r="A446" t="str">
        <x:v>PRD-JVS-0445</x:v>
      </x:c>
      <x:c r="B446" t="str">
        <x:v>JVS-0445</x:v>
      </x:c>
      <x:c r="C446" t="str">
        <x:v>Mika Stoplamp Vespa PX Bening/clear</x:v>
      </x:c>
      <x:c r="D446" t="str">
        <x:v>Body</x:v>
      </x:c>
      <x:c r="E446" t="str">
        <x:v>PX</x:v>
      </x:c>
      <x:c r="F446" t="str"/>
      <x:c r="G446" s="12" t="str"/>
      <x:c r="H446" s="12" t="str"/>
      <x:c r="I446" s="12" t="str"/>
      <x:c r="J446" s="16" t="str"/>
      <x:c r="K446" s="14" t="n">
        <x:v>4</x:v>
      </x:c>
      <x:c r="L446" s="14" t="n">
        <x:v>1</x:v>
      </x:c>
      <x:c r="M446" t="str">
        <x:v>READY</x:v>
      </x:c>
      <x:c r="N446" t="str">
        <x:v>AKTIF</x:v>
      </x:c>
      <x:c r="O446" t="str"/>
      <x:c r="P446" t="str"/>
      <x:c r="Q446" t="str"/>
      <x:c r="R446" t="str"/>
      <x:c r="S446" t="str"/>
      <x:c r="T446" t="str"/>
      <x:c r="U446" s="18" t="n">
        <x:v>46134.041666666664</x:v>
      </x:c>
      <x:c r="V446" t="str">
        <x:v>INITIAL_IMPORT</x:v>
      </x:c>
    </x:row>
    <x:row r="447">
      <x:c r="A447" t="str">
        <x:v>PRD-JVS-0446</x:v>
      </x:c>
      <x:c r="B447" t="str">
        <x:v>JVS-0446</x:v>
      </x:c>
      <x:c r="C447" t="str">
        <x:v>Mika Stoplamp Vespa PX Merah</x:v>
      </x:c>
      <x:c r="D447" t="str">
        <x:v>Body</x:v>
      </x:c>
      <x:c r="E447" t="str">
        <x:v>PX</x:v>
      </x:c>
      <x:c r="F447" t="str"/>
      <x:c r="G447" s="12" t="n">
        <x:v>40</x:v>
      </x:c>
      <x:c r="H447" s="12" t="n">
        <x:v>40</x:v>
      </x:c>
      <x:c r="I447" s="12" t="n">
        <x:v>0</x:v>
      </x:c>
      <x:c r="J447" s="16" t="n">
        <x:v>0</x:v>
      </x:c>
      <x:c r="K447" s="14" t="n">
        <x:v>3</x:v>
      </x:c>
      <x:c r="L447" s="14" t="n">
        <x:v>1</x:v>
      </x:c>
      <x:c r="M447" t="str">
        <x:v>READY</x:v>
      </x:c>
      <x:c r="N447" t="str">
        <x:v>AKTIF</x:v>
      </x:c>
      <x:c r="O447" t="str"/>
      <x:c r="P447" t="str"/>
      <x:c r="Q447" t="str"/>
      <x:c r="R447" t="str"/>
      <x:c r="S447" t="str"/>
      <x:c r="T447" t="str"/>
      <x:c r="U447" s="18" t="n">
        <x:v>46134.041666666664</x:v>
      </x:c>
      <x:c r="V447" t="str">
        <x:v>INITIAL_IMPORT</x:v>
      </x:c>
    </x:row>
    <x:row r="448">
      <x:c r="A448" t="str">
        <x:v>PRD-JVS-0447</x:v>
      </x:c>
      <x:c r="B448" t="str">
        <x:v>JVS-0447</x:v>
      </x:c>
      <x:c r="C448" t="str">
        <x:v>Mika Stoplamp Vespa Super Sprint Merah Kiwi</x:v>
      </x:c>
      <x:c r="D448" t="str">
        <x:v>Body</x:v>
      </x:c>
      <x:c r="E448" t="str">
        <x:v>SUPER, SPRINT</x:v>
      </x:c>
      <x:c r="F448" t="str"/>
      <x:c r="G448" s="12" t="n">
        <x:v>35</x:v>
      </x:c>
      <x:c r="H448" s="12" t="n">
        <x:v>35</x:v>
      </x:c>
      <x:c r="I448" s="12" t="n">
        <x:v>0</x:v>
      </x:c>
      <x:c r="J448" s="16" t="n">
        <x:v>0</x:v>
      </x:c>
      <x:c r="K448" s="14" t="n">
        <x:v>2</x:v>
      </x:c>
      <x:c r="L448" s="14" t="n">
        <x:v>1</x:v>
      </x:c>
      <x:c r="M448" t="str">
        <x:v>READY</x:v>
      </x:c>
      <x:c r="N448" t="str">
        <x:v>AKTIF</x:v>
      </x:c>
      <x:c r="O448" t="str"/>
      <x:c r="P448" t="str"/>
      <x:c r="Q448" t="str"/>
      <x:c r="R448" t="str"/>
      <x:c r="S448" t="str"/>
      <x:c r="T448" t="str"/>
      <x:c r="U448" s="18" t="n">
        <x:v>46134.041666666664</x:v>
      </x:c>
      <x:c r="V448" t="str">
        <x:v>INITIAL_IMPORT</x:v>
      </x:c>
    </x:row>
    <x:row r="449">
      <x:c r="A449" t="str">
        <x:v>PRD-JVS-0448</x:v>
      </x:c>
      <x:c r="B449" t="str">
        <x:v>JVS-0448</x:v>
      </x:c>
      <x:c r="C449" t="str">
        <x:v>Mur 11 Drat Panjang Blok Head Vespa</x:v>
      </x:c>
      <x:c r="D449" t="str">
        <x:v>Mesin</x:v>
      </x:c>
      <x:c r="E449" t="str"/>
      <x:c r="F449" t="str"/>
      <x:c r="G449" s="12" t="n">
        <x:v>8</x:v>
      </x:c>
      <x:c r="H449" s="12" t="n">
        <x:v>8</x:v>
      </x:c>
      <x:c r="I449" s="12" t="n">
        <x:v>0</x:v>
      </x:c>
      <x:c r="J449" s="16" t="n">
        <x:v>0</x:v>
      </x:c>
      <x:c r="K449" s="14" t="n">
        <x:v>8</x:v>
      </x:c>
      <x:c r="L449" s="14" t="n">
        <x:v>1</x:v>
      </x:c>
      <x:c r="M449" t="str">
        <x:v>READY</x:v>
      </x:c>
      <x:c r="N449" t="str">
        <x:v>AKTIF</x:v>
      </x:c>
      <x:c r="O449" t="str"/>
      <x:c r="P449" t="str"/>
      <x:c r="Q449" t="str"/>
      <x:c r="R449" t="str"/>
      <x:c r="S449" t="str"/>
      <x:c r="T449" t="str"/>
      <x:c r="U449" s="18" t="n">
        <x:v>46134.041666666664</x:v>
      </x:c>
      <x:c r="V449" t="str">
        <x:v>INITIAL_IMPORT</x:v>
      </x:c>
    </x:row>
    <x:row r="450">
      <x:c r="A450" t="str">
        <x:v>PRD-JVS-0449</x:v>
      </x:c>
      <x:c r="B450" t="str">
        <x:v>JVS-0449</x:v>
      </x:c>
      <x:c r="C450" t="str">
        <x:v>Mur 12 Blok Head Kunci 12 RX King</x:v>
      </x:c>
      <x:c r="D450" t="str">
        <x:v>Mesin</x:v>
      </x:c>
      <x:c r="E450" t="str"/>
      <x:c r="F450" t="str"/>
      <x:c r="G450" s="12" t="n">
        <x:v>3</x:v>
      </x:c>
      <x:c r="H450" s="12" t="n">
        <x:v>3</x:v>
      </x:c>
      <x:c r="I450" s="12" t="n">
        <x:v>0</x:v>
      </x:c>
      <x:c r="J450" s="16" t="n">
        <x:v>0</x:v>
      </x:c>
      <x:c r="K450" s="14" t="n">
        <x:v>14</x:v>
      </x:c>
      <x:c r="L450" s="14" t="n">
        <x:v>1</x:v>
      </x:c>
      <x:c r="M450" t="str">
        <x:v>READY</x:v>
      </x:c>
      <x:c r="N450" t="str">
        <x:v>AKTIF</x:v>
      </x:c>
      <x:c r="O450" t="str"/>
      <x:c r="P450" t="str"/>
      <x:c r="Q450" t="str"/>
      <x:c r="R450" t="str"/>
      <x:c r="S450" t="str"/>
      <x:c r="T450" t="str"/>
      <x:c r="U450" s="18" t="n">
        <x:v>46134.041666666664</x:v>
      </x:c>
      <x:c r="V450" t="str">
        <x:v>INITIAL_IMPORT</x:v>
      </x:c>
    </x:row>
    <x:row r="451">
      <x:c r="A451" t="str">
        <x:v>PRD-JVS-0450</x:v>
      </x:c>
      <x:c r="B451" t="str">
        <x:v>JVS-0450</x:v>
      </x:c>
      <x:c r="C451" t="str">
        <x:v>Mur 12 Blok Head Nanas Kunci 12</x:v>
      </x:c>
      <x:c r="D451" t="str">
        <x:v>Mesin</x:v>
      </x:c>
      <x:c r="E451" t="str"/>
      <x:c r="F451" t="str"/>
      <x:c r="G451" s="12" t="n">
        <x:v>5</x:v>
      </x:c>
      <x:c r="H451" s="12" t="n">
        <x:v>5</x:v>
      </x:c>
      <x:c r="I451" s="12" t="n">
        <x:v>0</x:v>
      </x:c>
      <x:c r="J451" s="16" t="n">
        <x:v>0</x:v>
      </x:c>
      <x:c r="K451" s="14" t="n">
        <x:v>7</x:v>
      </x:c>
      <x:c r="L451" s="14" t="n">
        <x:v>1</x:v>
      </x:c>
      <x:c r="M451" t="str">
        <x:v>READY</x:v>
      </x:c>
      <x:c r="N451" t="str">
        <x:v>AKTIF</x:v>
      </x:c>
      <x:c r="O451" t="str"/>
      <x:c r="P451" t="str"/>
      <x:c r="Q451" t="str"/>
      <x:c r="R451" t="str"/>
      <x:c r="S451" t="str"/>
      <x:c r="T451" t="str"/>
      <x:c r="U451" s="18" t="n">
        <x:v>46134.041666666664</x:v>
      </x:c>
      <x:c r="V451" t="str">
        <x:v>INITIAL_IMPORT</x:v>
      </x:c>
    </x:row>
    <x:row r="452">
      <x:c r="A452" t="str">
        <x:v>PRD-JVS-0451</x:v>
      </x:c>
      <x:c r="B452" t="str">
        <x:v>JVS-0451</x:v>
      </x:c>
      <x:c r="C452" t="str">
        <x:v>Mur 12 Drat Panjang Blok Head Vespa</x:v>
      </x:c>
      <x:c r="D452" t="str">
        <x:v>Mesin</x:v>
      </x:c>
      <x:c r="E452" t="str"/>
      <x:c r="F452" t="str"/>
      <x:c r="G452" s="12" t="n">
        <x:v>4</x:v>
      </x:c>
      <x:c r="H452" s="12" t="n">
        <x:v>4</x:v>
      </x:c>
      <x:c r="I452" s="12" t="n">
        <x:v>0</x:v>
      </x:c>
      <x:c r="J452" s="16" t="n">
        <x:v>0</x:v>
      </x:c>
      <x:c r="K452" s="14" t="n">
        <x:v>3</x:v>
      </x:c>
      <x:c r="L452" s="14" t="n">
        <x:v>1</x:v>
      </x:c>
      <x:c r="M452" t="str">
        <x:v>READY</x:v>
      </x:c>
      <x:c r="N452" t="str">
        <x:v>AKTIF</x:v>
      </x:c>
      <x:c r="O452" t="str"/>
      <x:c r="P452" t="str"/>
      <x:c r="Q452" t="str"/>
      <x:c r="R452" t="str"/>
      <x:c r="S452" t="str"/>
      <x:c r="T452" t="str"/>
      <x:c r="U452" s="18" t="n">
        <x:v>46134.041666666664</x:v>
      </x:c>
      <x:c r="V452" t="str">
        <x:v>INITIAL_IMPORT</x:v>
      </x:c>
    </x:row>
    <x:row r="453">
      <x:c r="A453" t="str">
        <x:v>PRD-JVS-0452</x:v>
      </x:c>
      <x:c r="B453" t="str">
        <x:v>JVS-0452</x:v>
      </x:c>
      <x:c r="C453" t="str">
        <x:v>Mur As Roda Depan Bagian Dalam Vespa Super Sprint PS Fork Kaki 3</x:v>
      </x:c>
      <x:c r="D453" t="str">
        <x:v>Kaki-Kaki</x:v>
      </x:c>
      <x:c r="E453" t="str">
        <x:v>SUPER, SPRINT, PS</x:v>
      </x:c>
      <x:c r="F453" t="str"/>
      <x:c r="G453" s="12" t="n">
        <x:v>10</x:v>
      </x:c>
      <x:c r="H453" s="12" t="n">
        <x:v>10</x:v>
      </x:c>
      <x:c r="I453" s="12" t="n">
        <x:v>0</x:v>
      </x:c>
      <x:c r="J453" s="16" t="n">
        <x:v>0</x:v>
      </x:c>
      <x:c r="K453" s="14" t="n">
        <x:v>4</x:v>
      </x:c>
      <x:c r="L453" s="14" t="n">
        <x:v>1</x:v>
      </x:c>
      <x:c r="M453" t="str">
        <x:v>READY</x:v>
      </x:c>
      <x:c r="N453" t="str">
        <x:v>AKTIF</x:v>
      </x:c>
      <x:c r="O453" t="str"/>
      <x:c r="P453" t="str"/>
      <x:c r="Q453" t="str"/>
      <x:c r="R453" t="str"/>
      <x:c r="S453" t="str"/>
      <x:c r="T453" t="str"/>
      <x:c r="U453" s="18" t="n">
        <x:v>46134.041666666664</x:v>
      </x:c>
      <x:c r="V453" t="str">
        <x:v>INITIAL_IMPORT</x:v>
      </x:c>
    </x:row>
    <x:row r="454">
      <x:c r="A454" t="str">
        <x:v>PRD-JVS-0453</x:v>
      </x:c>
      <x:c r="B454" t="str">
        <x:v>JVS-0453</x:v>
      </x:c>
      <x:c r="C454" t="str">
        <x:v>Mur Gigi Borobudur All Vespa</x:v>
      </x:c>
      <x:c r="D454" t="str">
        <x:v>Mesin</x:v>
      </x:c>
      <x:c r="E454" t="str"/>
      <x:c r="F454" t="str"/>
      <x:c r="G454" s="12" t="str"/>
      <x:c r="H454" s="12" t="str"/>
      <x:c r="I454" s="12" t="str"/>
      <x:c r="J454" s="16" t="str"/>
      <x:c r="K454" s="14" t="n">
        <x:v>3</x:v>
      </x:c>
      <x:c r="L454" s="14" t="n">
        <x:v>1</x:v>
      </x:c>
      <x:c r="M454" t="str">
        <x:v>READY</x:v>
      </x:c>
      <x:c r="N454" t="str">
        <x:v>AKTIF</x:v>
      </x:c>
      <x:c r="O454" t="str"/>
      <x:c r="P454" t="str"/>
      <x:c r="Q454" t="str"/>
      <x:c r="R454" t="str"/>
      <x:c r="S454" t="str"/>
      <x:c r="T454" t="str"/>
      <x:c r="U454" s="18" t="n">
        <x:v>46134.041666666664</x:v>
      </x:c>
      <x:c r="V454" t="str">
        <x:v>INITIAL_IMPORT</x:v>
      </x:c>
    </x:row>
    <x:row r="455">
      <x:c r="A455" t="str">
        <x:v>PRD-JVS-0454</x:v>
      </x:c>
      <x:c r="B455" t="str">
        <x:v>JVS-0454</x:v>
      </x:c>
      <x:c r="C455" t="str">
        <x:v>Mur Ikat Karburtor kunci 11</x:v>
      </x:c>
      <x:c r="D455" t="str">
        <x:v>Servis</x:v>
      </x:c>
      <x:c r="E455" t="str"/>
      <x:c r="F455" t="str"/>
      <x:c r="G455" s="12" t="n">
        <x:v>7.5</x:v>
      </x:c>
      <x:c r="H455" s="12" t="n">
        <x:v>7.5</x:v>
      </x:c>
      <x:c r="I455" s="12" t="n">
        <x:v>0</x:v>
      </x:c>
      <x:c r="J455" s="16" t="n">
        <x:v>0</x:v>
      </x:c>
      <x:c r="K455" s="14" t="n">
        <x:v>6</x:v>
      </x:c>
      <x:c r="L455" s="14" t="n">
        <x:v>1</x:v>
      </x:c>
      <x:c r="M455" t="str">
        <x:v>READY</x:v>
      </x:c>
      <x:c r="N455" t="str">
        <x:v>AKTIF</x:v>
      </x:c>
      <x:c r="O455" t="str"/>
      <x:c r="P455" t="str"/>
      <x:c r="Q455" t="str"/>
      <x:c r="R455" t="str"/>
      <x:c r="S455" t="str"/>
      <x:c r="T455" t="str"/>
      <x:c r="U455" s="18" t="n">
        <x:v>46134.041666666664</x:v>
      </x:c>
      <x:c r="V455" t="str">
        <x:v>INITIAL_IMPORT</x:v>
      </x:c>
    </x:row>
    <x:row r="456">
      <x:c r="A456" t="str">
        <x:v>PRD-JVS-0455</x:v>
      </x:c>
      <x:c r="B456" t="str">
        <x:v>JVS-0455</x:v>
      </x:c>
      <x:c r="C456" t="str">
        <x:v>Mur Komstir Atas</x:v>
      </x:c>
      <x:c r="D456" t="str">
        <x:v>Servis</x:v>
      </x:c>
      <x:c r="E456" t="str"/>
      <x:c r="F456" t="str"/>
      <x:c r="G456" s="12" t="n">
        <x:v>15</x:v>
      </x:c>
      <x:c r="H456" s="12" t="n">
        <x:v>15</x:v>
      </x:c>
      <x:c r="I456" s="12" t="n">
        <x:v>0</x:v>
      </x:c>
      <x:c r="J456" s="16" t="n">
        <x:v>0</x:v>
      </x:c>
      <x:c r="K456" s="14" t="n">
        <x:v>6</x:v>
      </x:c>
      <x:c r="L456" s="14" t="n">
        <x:v>1</x:v>
      </x:c>
      <x:c r="M456" t="str">
        <x:v>READY</x:v>
      </x:c>
      <x:c r="N456" t="str">
        <x:v>AKTIF</x:v>
      </x:c>
      <x:c r="O456" t="str"/>
      <x:c r="P456" t="str"/>
      <x:c r="Q456" t="str"/>
      <x:c r="R456" t="str"/>
      <x:c r="S456" t="str"/>
      <x:c r="T456" t="str"/>
      <x:c r="U456" s="18" t="n">
        <x:v>46134.041666666664</x:v>
      </x:c>
      <x:c r="V456" t="str">
        <x:v>INITIAL_IMPORT</x:v>
      </x:c>
    </x:row>
    <x:row r="457">
      <x:c r="A457" t="str">
        <x:v>PRD-JVS-0456</x:v>
      </x:c>
      <x:c r="B457" t="str">
        <x:v>JVS-0456</x:v>
      </x:c>
      <x:c r="C457" t="str">
        <x:v>Mur Kopling Vespa Kunci 14</x:v>
      </x:c>
      <x:c r="D457" t="str">
        <x:v>Mesin</x:v>
      </x:c>
      <x:c r="E457" t="str"/>
      <x:c r="F457" t="str"/>
      <x:c r="G457" s="12" t="n">
        <x:v>5</x:v>
      </x:c>
      <x:c r="H457" s="12" t="n">
        <x:v>5</x:v>
      </x:c>
      <x:c r="I457" s="12" t="n">
        <x:v>0</x:v>
      </x:c>
      <x:c r="J457" s="16" t="n">
        <x:v>0</x:v>
      </x:c>
      <x:c r="K457" s="14" t="n">
        <x:v>13</x:v>
      </x:c>
      <x:c r="L457" s="14" t="n">
        <x:v>1</x:v>
      </x:c>
      <x:c r="M457" t="str">
        <x:v>READY</x:v>
      </x:c>
      <x:c r="N457" t="str">
        <x:v>AKTIF</x:v>
      </x:c>
      <x:c r="O457" t="str"/>
      <x:c r="P457" t="str"/>
      <x:c r="Q457" t="str"/>
      <x:c r="R457" t="str"/>
      <x:c r="S457" t="str"/>
      <x:c r="T457" t="str"/>
      <x:c r="U457" s="18" t="n">
        <x:v>46134.041666666664</x:v>
      </x:c>
      <x:c r="V457" t="str">
        <x:v>INITIAL_IMPORT</x:v>
      </x:c>
    </x:row>
    <x:row r="458">
      <x:c r="A458" t="str">
        <x:v>PRD-JVS-0457</x:v>
      </x:c>
      <x:c r="B458" t="str">
        <x:v>JVS-0457</x:v>
      </x:c>
      <x:c r="C458" t="str">
        <x:v>Mur Magnet Kunci 14 Vespa As Kecil</x:v>
      </x:c>
      <x:c r="D458" t="str">
        <x:v>Mesin</x:v>
      </x:c>
      <x:c r="E458" t="str"/>
      <x:c r="F458" t="str"/>
      <x:c r="G458" s="12" t="n">
        <x:v>5</x:v>
      </x:c>
      <x:c r="H458" s="12" t="n">
        <x:v>5</x:v>
      </x:c>
      <x:c r="I458" s="12" t="n">
        <x:v>0</x:v>
      </x:c>
      <x:c r="J458" s="16" t="n">
        <x:v>0</x:v>
      </x:c>
      <x:c r="K458" s="14" t="n">
        <x:v>27</x:v>
      </x:c>
      <x:c r="L458" s="14" t="n">
        <x:v>1</x:v>
      </x:c>
      <x:c r="M458" t="str">
        <x:v>READY</x:v>
      </x:c>
      <x:c r="N458" t="str">
        <x:v>AKTIF</x:v>
      </x:c>
      <x:c r="O458" t="str"/>
      <x:c r="P458" t="str"/>
      <x:c r="Q458" t="str"/>
      <x:c r="R458" t="str"/>
      <x:c r="S458" t="str"/>
      <x:c r="T458" t="str"/>
      <x:c r="U458" s="18" t="n">
        <x:v>46134.041666666664</x:v>
      </x:c>
      <x:c r="V458" t="str">
        <x:v>INITIAL_IMPORT</x:v>
      </x:c>
    </x:row>
    <x:row r="459">
      <x:c r="A459" t="str">
        <x:v>PRD-JVS-0458</x:v>
      </x:c>
      <x:c r="B459" t="str">
        <x:v>JVS-0458</x:v>
      </x:c>
      <x:c r="C459" t="str">
        <x:v>Mur Magnet Kunci 19 Vespa PX</x:v>
      </x:c>
      <x:c r="D459" t="str">
        <x:v>Mesin</x:v>
      </x:c>
      <x:c r="E459" t="str">
        <x:v>PX</x:v>
      </x:c>
      <x:c r="F459" t="str"/>
      <x:c r="G459" s="12" t="n">
        <x:v>7</x:v>
      </x:c>
      <x:c r="H459" s="12" t="n">
        <x:v>7</x:v>
      </x:c>
      <x:c r="I459" s="12" t="n">
        <x:v>0</x:v>
      </x:c>
      <x:c r="J459" s="16" t="n">
        <x:v>0</x:v>
      </x:c>
      <x:c r="K459" s="14" t="n">
        <x:v>6</x:v>
      </x:c>
      <x:c r="L459" s="14" t="n">
        <x:v>1</x:v>
      </x:c>
      <x:c r="M459" t="str">
        <x:v>READY</x:v>
      </x:c>
      <x:c r="N459" t="str">
        <x:v>AKTIF</x:v>
      </x:c>
      <x:c r="O459" t="str"/>
      <x:c r="P459" t="str"/>
      <x:c r="Q459" t="str"/>
      <x:c r="R459" t="str"/>
      <x:c r="S459" t="str"/>
      <x:c r="T459" t="str"/>
      <x:c r="U459" s="18" t="n">
        <x:v>46134.041666666664</x:v>
      </x:c>
      <x:c r="V459" t="str">
        <x:v>INITIAL_IMPORT</x:v>
      </x:c>
    </x:row>
    <x:row r="460">
      <x:c r="A460" t="str">
        <x:v>PRD-JVS-0459</x:v>
      </x:c>
      <x:c r="B460" t="str">
        <x:v>JVS-0459</x:v>
      </x:c>
      <x:c r="C460" t="str">
        <x:v>Mur Roda As Roda Depan Kunci 17 Tromol Vespa PX Lama</x:v>
      </x:c>
      <x:c r="D460" t="str">
        <x:v>Kaki-Kaki</x:v>
      </x:c>
      <x:c r="E460" t="str">
        <x:v>PX</x:v>
      </x:c>
      <x:c r="F460" t="str"/>
      <x:c r="G460" s="12" t="n">
        <x:v>10</x:v>
      </x:c>
      <x:c r="H460" s="12" t="n">
        <x:v>10</x:v>
      </x:c>
      <x:c r="I460" s="12" t="n">
        <x:v>0</x:v>
      </x:c>
      <x:c r="J460" s="16" t="n">
        <x:v>0</x:v>
      </x:c>
      <x:c r="K460" s="14" t="n">
        <x:v>31</x:v>
      </x:c>
      <x:c r="L460" s="14" t="n">
        <x:v>1</x:v>
      </x:c>
      <x:c r="M460" t="str">
        <x:v>READY</x:v>
      </x:c>
      <x:c r="N460" t="str">
        <x:v>AKTIF</x:v>
      </x:c>
      <x:c r="O460" t="str"/>
      <x:c r="P460" t="str"/>
      <x:c r="Q460" t="str"/>
      <x:c r="R460" t="str"/>
      <x:c r="S460" t="str"/>
      <x:c r="T460" t="str"/>
      <x:c r="U460" s="18" t="n">
        <x:v>46134.041666666664</x:v>
      </x:c>
      <x:c r="V460" t="str">
        <x:v>INITIAL_IMPORT</x:v>
      </x:c>
    </x:row>
    <x:row r="461">
      <x:c r="A461" t="str">
        <x:v>PRD-JVS-0460</x:v>
      </x:c>
      <x:c r="B461" t="str">
        <x:v>JVS-0460</x:v>
      </x:c>
      <x:c r="C461" t="str">
        <x:v>Mur Roda Belakang Kunci 22</x:v>
      </x:c>
      <x:c r="D461" t="str">
        <x:v>Kaki-Kaki</x:v>
      </x:c>
      <x:c r="E461" t="str"/>
      <x:c r="F461" t="str"/>
      <x:c r="G461" s="12" t="n">
        <x:v>7.5</x:v>
      </x:c>
      <x:c r="H461" s="12" t="n">
        <x:v>7.5</x:v>
      </x:c>
      <x:c r="I461" s="12" t="n">
        <x:v>0</x:v>
      </x:c>
      <x:c r="J461" s="16" t="n">
        <x:v>0</x:v>
      </x:c>
      <x:c r="K461" s="14" t="n">
        <x:v>13</x:v>
      </x:c>
      <x:c r="L461" s="14" t="n">
        <x:v>1</x:v>
      </x:c>
      <x:c r="M461" t="str">
        <x:v>READY</x:v>
      </x:c>
      <x:c r="N461" t="str">
        <x:v>AKTIF</x:v>
      </x:c>
      <x:c r="O461" t="str"/>
      <x:c r="P461" t="str"/>
      <x:c r="Q461" t="str"/>
      <x:c r="R461" t="str"/>
      <x:c r="S461" t="str"/>
      <x:c r="T461" t="str"/>
      <x:c r="U461" s="18" t="n">
        <x:v>46134.041666666664</x:v>
      </x:c>
      <x:c r="V461" t="str">
        <x:v>INITIAL_IMPORT</x:v>
      </x:c>
    </x:row>
    <x:row r="462">
      <x:c r="A462" t="str">
        <x:v>PRD-JVS-0461</x:v>
      </x:c>
      <x:c r="B462" t="str">
        <x:v>JVS-0461</x:v>
      </x:c>
      <x:c r="C462" t="str">
        <x:v>Mur Roda Belakang Kunci 24</x:v>
      </x:c>
      <x:c r="D462" t="str">
        <x:v>Kaki-Kaki</x:v>
      </x:c>
      <x:c r="E462" t="str"/>
      <x:c r="F462" t="str"/>
      <x:c r="G462" s="12" t="n">
        <x:v>7.5</x:v>
      </x:c>
      <x:c r="H462" s="12" t="n">
        <x:v>7.5</x:v>
      </x:c>
      <x:c r="I462" s="12" t="n">
        <x:v>0</x:v>
      </x:c>
      <x:c r="J462" s="16" t="n">
        <x:v>0</x:v>
      </x:c>
      <x:c r="K462" s="14" t="n">
        <x:v>3</x:v>
      </x:c>
      <x:c r="L462" s="14" t="n">
        <x:v>1</x:v>
      </x:c>
      <x:c r="M462" t="str">
        <x:v>READY</x:v>
      </x:c>
      <x:c r="N462" t="str">
        <x:v>AKTIF</x:v>
      </x:c>
      <x:c r="O462" t="str"/>
      <x:c r="P462" t="str"/>
      <x:c r="Q462" t="str"/>
      <x:c r="R462" t="str"/>
      <x:c r="S462" t="str"/>
      <x:c r="T462" t="str"/>
      <x:c r="U462" s="18" t="n">
        <x:v>46134.041666666664</x:v>
      </x:c>
      <x:c r="V462" t="str">
        <x:v>INITIAL_IMPORT</x:v>
      </x:c>
    </x:row>
    <x:row r="463">
      <x:c r="A463" t="str">
        <x:v>PRD-JVS-0462</x:v>
      </x:c>
      <x:c r="B463" t="str">
        <x:v>JVS-0462</x:v>
      </x:c>
      <x:c r="C463" t="str">
        <x:v>Mur Set Ring Kupu Kupu Gigi Borobudur Vespa Excel PXE (mur Besar)</x:v>
      </x:c>
      <x:c r="D463" t="str">
        <x:v>Mesin</x:v>
      </x:c>
      <x:c r="E463" t="str">
        <x:v>EXCEL, PXE, PX</x:v>
      </x:c>
      <x:c r="F463" t="str"/>
      <x:c r="G463" s="12" t="n">
        <x:v>10</x:v>
      </x:c>
      <x:c r="H463" s="12" t="n">
        <x:v>10</x:v>
      </x:c>
      <x:c r="I463" s="12" t="n">
        <x:v>0</x:v>
      </x:c>
      <x:c r="J463" s="16" t="n">
        <x:v>0</x:v>
      </x:c>
      <x:c r="K463" s="14" t="n">
        <x:v>4</x:v>
      </x:c>
      <x:c r="L463" s="14" t="n">
        <x:v>1</x:v>
      </x:c>
      <x:c r="M463" t="str">
        <x:v>READY</x:v>
      </x:c>
      <x:c r="N463" t="str">
        <x:v>AKTIF</x:v>
      </x:c>
      <x:c r="O463" t="str"/>
      <x:c r="P463" t="str"/>
      <x:c r="Q463" t="str"/>
      <x:c r="R463" t="str"/>
      <x:c r="S463" t="str"/>
      <x:c r="T463" t="str"/>
      <x:c r="U463" s="18" t="n">
        <x:v>46134.041666666664</x:v>
      </x:c>
      <x:c r="V463" t="str">
        <x:v>INITIAL_IMPORT</x:v>
      </x:c>
    </x:row>
    <x:row r="464">
      <x:c r="A464" t="str">
        <x:v>PRD-JVS-0463</x:v>
      </x:c>
      <x:c r="B464" t="str">
        <x:v>JVS-0463</x:v>
      </x:c>
      <x:c r="C464" t="str">
        <x:v>Mur Set Ring Kupu Kupu Gigi Borobudur Vespa Super Sprint</x:v>
      </x:c>
      <x:c r="D464" t="str">
        <x:v>Mesin</x:v>
      </x:c>
      <x:c r="E464" t="str">
        <x:v>SUPER, SPRINT</x:v>
      </x:c>
      <x:c r="F464" t="str"/>
      <x:c r="G464" s="12" t="n">
        <x:v>10</x:v>
      </x:c>
      <x:c r="H464" s="12" t="n">
        <x:v>10</x:v>
      </x:c>
      <x:c r="I464" s="12" t="n">
        <x:v>0</x:v>
      </x:c>
      <x:c r="J464" s="16" t="n">
        <x:v>0</x:v>
      </x:c>
      <x:c r="K464" s="14" t="n">
        <x:v>4</x:v>
      </x:c>
      <x:c r="L464" s="14" t="n">
        <x:v>1</x:v>
      </x:c>
      <x:c r="M464" t="str">
        <x:v>READY</x:v>
      </x:c>
      <x:c r="N464" t="str">
        <x:v>AKTIF</x:v>
      </x:c>
      <x:c r="O464" t="str"/>
      <x:c r="P464" t="str"/>
      <x:c r="Q464" t="str"/>
      <x:c r="R464" t="str"/>
      <x:c r="S464" t="str"/>
      <x:c r="T464" t="str"/>
      <x:c r="U464" s="18" t="n">
        <x:v>46134.041666666664</x:v>
      </x:c>
      <x:c r="V464" t="str">
        <x:v>INITIAL_IMPORT</x:v>
      </x:c>
    </x:row>
    <x:row r="465">
      <x:c r="A465" t="str">
        <x:v>PRD-JVS-0464</x:v>
      </x:c>
      <x:c r="B465" t="str">
        <x:v>JVS-0464</x:v>
      </x:c>
      <x:c r="C465" t="str">
        <x:v>Mur Velg Kenong vespa tahun tua VBB Bajaj</x:v>
      </x:c>
      <x:c r="D465" t="str">
        <x:v>Kaki-Kaki</x:v>
      </x:c>
      <x:c r="E465" t="str">
        <x:v>VBB, BAJAJ</x:v>
      </x:c>
      <x:c r="F465" t="str"/>
      <x:c r="G465" s="12" t="n">
        <x:v>7</x:v>
      </x:c>
      <x:c r="H465" s="12" t="n">
        <x:v>7</x:v>
      </x:c>
      <x:c r="I465" s="12" t="n">
        <x:v>0</x:v>
      </x:c>
      <x:c r="J465" s="16" t="n">
        <x:v>0</x:v>
      </x:c>
      <x:c r="K465" s="14" t="n">
        <x:v>2</x:v>
      </x:c>
      <x:c r="L465" s="14" t="n">
        <x:v>1</x:v>
      </x:c>
      <x:c r="M465" t="str">
        <x:v>READY</x:v>
      </x:c>
      <x:c r="N465" t="str">
        <x:v>AKTIF</x:v>
      </x:c>
      <x:c r="O465" t="str"/>
      <x:c r="P465" t="str"/>
      <x:c r="Q465" t="str"/>
      <x:c r="R465" t="str"/>
      <x:c r="S465" t="str"/>
      <x:c r="T465" t="str"/>
      <x:c r="U465" s="18" t="n">
        <x:v>46134.041666666664</x:v>
      </x:c>
      <x:c r="V465" t="str">
        <x:v>INITIAL_IMPORT</x:v>
      </x:c>
    </x:row>
    <x:row r="466">
      <x:c r="A466" t="str">
        <x:v>PRD-JVS-0465</x:v>
      </x:c>
      <x:c r="B466" t="str">
        <x:v>JVS-0465</x:v>
      </x:c>
      <x:c r="C466" t="str">
        <x:v>Mur Velg Vespa Model Tubles Chrome</x:v>
      </x:c>
      <x:c r="D466" t="str">
        <x:v>Kaki-Kaki</x:v>
      </x:c>
      <x:c r="E466" t="str"/>
      <x:c r="F466" t="str"/>
      <x:c r="G466" s="12" t="n">
        <x:v>12</x:v>
      </x:c>
      <x:c r="H466" s="12" t="n">
        <x:v>12</x:v>
      </x:c>
      <x:c r="I466" s="12" t="n">
        <x:v>0</x:v>
      </x:c>
      <x:c r="J466" s="16" t="n">
        <x:v>0</x:v>
      </x:c>
      <x:c r="K466" s="14" t="n">
        <x:v>15</x:v>
      </x:c>
      <x:c r="L466" s="14" t="n">
        <x:v>1</x:v>
      </x:c>
      <x:c r="M466" t="str">
        <x:v>READY</x:v>
      </x:c>
      <x:c r="N466" t="str">
        <x:v>AKTIF</x:v>
      </x:c>
      <x:c r="O466" t="str"/>
      <x:c r="P466" t="str"/>
      <x:c r="Q466" t="str"/>
      <x:c r="R466" t="str"/>
      <x:c r="S466" t="str"/>
      <x:c r="T466" t="str"/>
      <x:c r="U466" s="18" t="n">
        <x:v>46134.041666666664</x:v>
      </x:c>
      <x:c r="V466" t="str">
        <x:v>INITIAL_IMPORT</x:v>
      </x:c>
    </x:row>
    <x:row r="467">
      <x:c r="A467" t="str">
        <x:v>PRD-JVS-0466</x:v>
      </x:c>
      <x:c r="B467" t="str">
        <x:v>JVS-0466</x:v>
      </x:c>
      <x:c r="C467" t="str">
        <x:v>Nepel Botol Kabel Seling Vespa</x:v>
      </x:c>
      <x:c r="D467" t="str">
        <x:v>Servis</x:v>
      </x:c>
      <x:c r="E467" t="str"/>
      <x:c r="F467" t="str"/>
      <x:c r="G467" s="12" t="n">
        <x:v>3</x:v>
      </x:c>
      <x:c r="H467" s="12" t="n">
        <x:v>3</x:v>
      </x:c>
      <x:c r="I467" s="12" t="n">
        <x:v>0</x:v>
      </x:c>
      <x:c r="J467" s="16" t="n">
        <x:v>0</x:v>
      </x:c>
      <x:c r="K467" s="14" t="n">
        <x:v>5</x:v>
      </x:c>
      <x:c r="L467" s="14" t="n">
        <x:v>1</x:v>
      </x:c>
      <x:c r="M467" t="str">
        <x:v>READY</x:v>
      </x:c>
      <x:c r="N467" t="str">
        <x:v>AKTIF</x:v>
      </x:c>
      <x:c r="O467" t="str"/>
      <x:c r="P467" t="str"/>
      <x:c r="Q467" t="str"/>
      <x:c r="R467" t="str"/>
      <x:c r="S467" t="str"/>
      <x:c r="T467" t="str"/>
      <x:c r="U467" s="18" t="n">
        <x:v>46134.041666666664</x:v>
      </x:c>
      <x:c r="V467" t="str">
        <x:v>INITIAL_IMPORT</x:v>
      </x:c>
    </x:row>
    <x:row r="468">
      <x:c r="A468" t="str">
        <x:v>PRD-JVS-0467</x:v>
      </x:c>
      <x:c r="B468" t="str">
        <x:v>JVS-0467</x:v>
      </x:c>
      <x:c r="C468" t="str">
        <x:v>Nepel Jepit Seling Kawat Vespa</x:v>
      </x:c>
      <x:c r="D468" t="str">
        <x:v>Aksesoris</x:v>
      </x:c>
      <x:c r="E468" t="str"/>
      <x:c r="F468" t="str"/>
      <x:c r="G468" s="12" t="n">
        <x:v>3</x:v>
      </x:c>
      <x:c r="H468" s="12" t="n">
        <x:v>3</x:v>
      </x:c>
      <x:c r="I468" s="12" t="n">
        <x:v>0</x:v>
      </x:c>
      <x:c r="J468" s="16" t="n">
        <x:v>0</x:v>
      </x:c>
      <x:c r="K468" s="14" t="n">
        <x:v>75</x:v>
      </x:c>
      <x:c r="L468" s="14" t="n">
        <x:v>1</x:v>
      </x:c>
      <x:c r="M468" t="str">
        <x:v>READY</x:v>
      </x:c>
      <x:c r="N468" t="str">
        <x:v>AKTIF</x:v>
      </x:c>
      <x:c r="O468" t="str"/>
      <x:c r="P468" t="str"/>
      <x:c r="Q468" t="str"/>
      <x:c r="R468" t="str"/>
      <x:c r="S468" t="str"/>
      <x:c r="T468" t="str"/>
      <x:c r="U468" s="18" t="n">
        <x:v>46134.041666666664</x:v>
      </x:c>
      <x:c r="V468" t="str">
        <x:v>INITIAL_IMPORT</x:v>
      </x:c>
    </x:row>
    <x:row r="469">
      <x:c r="A469" t="str">
        <x:v>PRD-JVS-0468</x:v>
      </x:c>
      <x:c r="B469" t="str">
        <x:v>JVS-0468</x:v>
      </x:c>
      <x:c r="C469" t="str">
        <x:v>Obeng Amerika</x:v>
      </x:c>
      <x:c r="D469" t="str">
        <x:v>Aksesoris</x:v>
      </x:c>
      <x:c r="E469" t="str"/>
      <x:c r="F469" t="str"/>
      <x:c r="G469" s="12" t="n">
        <x:v>6</x:v>
      </x:c>
      <x:c r="H469" s="12" t="n">
        <x:v>6</x:v>
      </x:c>
      <x:c r="I469" s="12" t="n">
        <x:v>0</x:v>
      </x:c>
      <x:c r="J469" s="16" t="n">
        <x:v>0</x:v>
      </x:c>
      <x:c r="K469" s="14" t="n">
        <x:v>4</x:v>
      </x:c>
      <x:c r="L469" s="14" t="n">
        <x:v>1</x:v>
      </x:c>
      <x:c r="M469" t="str">
        <x:v>READY</x:v>
      </x:c>
      <x:c r="N469" t="str">
        <x:v>AKTIF</x:v>
      </x:c>
      <x:c r="O469" t="str"/>
      <x:c r="P469" t="str"/>
      <x:c r="Q469" t="str"/>
      <x:c r="R469" t="str"/>
      <x:c r="S469" t="str"/>
      <x:c r="T469" t="str"/>
      <x:c r="U469" s="18" t="n">
        <x:v>46134.041666666664</x:v>
      </x:c>
      <x:c r="V469" t="str">
        <x:v>INITIAL_IMPORT</x:v>
      </x:c>
    </x:row>
    <x:row r="470">
      <x:c r="A470" t="str">
        <x:v>PRD-JVS-0469</x:v>
      </x:c>
      <x:c r="B470" t="str">
        <x:v>JVS-0469</x:v>
      </x:c>
      <x:c r="C470" t="str">
        <x:v>Oli Mesin GGI</x:v>
      </x:c>
      <x:c r="D470" t="str">
        <x:v>Servis</x:v>
      </x:c>
      <x:c r="E470" t="str"/>
      <x:c r="F470" t="str"/>
      <x:c r="G470" s="12" t="n">
        <x:v>20</x:v>
      </x:c>
      <x:c r="H470" s="12" t="n">
        <x:v>20</x:v>
      </x:c>
      <x:c r="I470" s="12" t="n">
        <x:v>0</x:v>
      </x:c>
      <x:c r="J470" s="16" t="n">
        <x:v>0</x:v>
      </x:c>
      <x:c r="K470" s="14" t="n">
        <x:v>7</x:v>
      </x:c>
      <x:c r="L470" s="14" t="n">
        <x:v>1</x:v>
      </x:c>
      <x:c r="M470" t="str">
        <x:v>READY</x:v>
      </x:c>
      <x:c r="N470" t="str">
        <x:v>AKTIF</x:v>
      </x:c>
      <x:c r="O470" t="str"/>
      <x:c r="P470" t="str"/>
      <x:c r="Q470" t="str"/>
      <x:c r="R470" t="str"/>
      <x:c r="S470" t="str"/>
      <x:c r="T470" t="str"/>
      <x:c r="U470" s="18" t="n">
        <x:v>46134.041666666664</x:v>
      </x:c>
      <x:c r="V470" t="str">
        <x:v>INITIAL_IMPORT</x:v>
      </x:c>
    </x:row>
    <x:row r="471">
      <x:c r="A471" t="str">
        <x:v>PRD-JVS-0470</x:v>
      </x:c>
      <x:c r="B471" t="str">
        <x:v>JVS-0470</x:v>
      </x:c>
      <x:c r="C471" t="str">
        <x:v>Oli Mesin Vespa Ecco 20w40 500ml</x:v>
      </x:c>
      <x:c r="D471" t="str">
        <x:v>Servis</x:v>
      </x:c>
      <x:c r="E471" t="str"/>
      <x:c r="F471" t="str"/>
      <x:c r="G471" s="12" t="n">
        <x:v>18.5</x:v>
      </x:c>
      <x:c r="H471" s="12" t="n">
        <x:v>18.5</x:v>
      </x:c>
      <x:c r="I471" s="12" t="n">
        <x:v>0</x:v>
      </x:c>
      <x:c r="J471" s="16" t="n">
        <x:v>0</x:v>
      </x:c>
      <x:c r="K471" s="14" t="n">
        <x:v>0</x:v>
      </x:c>
      <x:c r="L471" s="14" t="n">
        <x:v>1</x:v>
      </x:c>
      <x:c r="M471" t="str">
        <x:v>OUT OF STOCK</x:v>
      </x:c>
      <x:c r="N471" t="str">
        <x:v>AKTIF</x:v>
      </x:c>
      <x:c r="O471" t="str"/>
      <x:c r="P471" t="str"/>
      <x:c r="Q471" t="str"/>
      <x:c r="R471" t="str"/>
      <x:c r="S471" t="str"/>
      <x:c r="T471" t="str"/>
      <x:c r="U471" s="18" t="n">
        <x:v>46134.041666666664</x:v>
      </x:c>
      <x:c r="V471" t="str">
        <x:v>INITIAL_IMPORT</x:v>
      </x:c>
    </x:row>
    <x:row r="472">
      <x:c r="A472" t="str">
        <x:v>PRD-JVS-0471</x:v>
      </x:c>
      <x:c r="B472" t="str">
        <x:v>JVS-0471</x:v>
      </x:c>
      <x:c r="C472" t="str">
        <x:v>Oli Samping Eni</x:v>
      </x:c>
      <x:c r="D472" t="str">
        <x:v>Servis</x:v>
      </x:c>
      <x:c r="E472" t="str"/>
      <x:c r="F472" t="str"/>
      <x:c r="G472" s="12" t="n">
        <x:v>28</x:v>
      </x:c>
      <x:c r="H472" s="12" t="n">
        <x:v>28</x:v>
      </x:c>
      <x:c r="I472" s="12" t="n">
        <x:v>0</x:v>
      </x:c>
      <x:c r="J472" s="16" t="n">
        <x:v>0</x:v>
      </x:c>
      <x:c r="K472" s="14" t="n">
        <x:v>4</x:v>
      </x:c>
      <x:c r="L472" s="14" t="n">
        <x:v>1</x:v>
      </x:c>
      <x:c r="M472" t="str">
        <x:v>READY</x:v>
      </x:c>
      <x:c r="N472" t="str">
        <x:v>AKTIF</x:v>
      </x:c>
      <x:c r="O472" t="str"/>
      <x:c r="P472" t="str"/>
      <x:c r="Q472" t="str"/>
      <x:c r="R472" t="str"/>
      <x:c r="S472" t="str"/>
      <x:c r="T472" t="str"/>
      <x:c r="U472" s="18" t="n">
        <x:v>46134.041666666664</x:v>
      </x:c>
      <x:c r="V472" t="str">
        <x:v>INITIAL_IMPORT</x:v>
      </x:c>
    </x:row>
    <x:row r="473">
      <x:c r="A473" t="str">
        <x:v>PRD-JVS-0472</x:v>
      </x:c>
      <x:c r="B473" t="str">
        <x:v>JVS-0472</x:v>
      </x:c>
      <x:c r="C473" t="str">
        <x:v>Oli Samping Evalube 2T Pro Kuning</x:v>
      </x:c>
      <x:c r="D473" t="str">
        <x:v>Servis</x:v>
      </x:c>
      <x:c r="E473" t="str"/>
      <x:c r="F473" t="str"/>
      <x:c r="G473" s="12" t="n">
        <x:v>40</x:v>
      </x:c>
      <x:c r="H473" s="12" t="n">
        <x:v>40</x:v>
      </x:c>
      <x:c r="I473" s="12" t="n">
        <x:v>0</x:v>
      </x:c>
      <x:c r="J473" s="16" t="n">
        <x:v>0</x:v>
      </x:c>
      <x:c r="K473" s="14" t="n">
        <x:v>3</x:v>
      </x:c>
      <x:c r="L473" s="14" t="n">
        <x:v>1</x:v>
      </x:c>
      <x:c r="M473" t="str">
        <x:v>READY</x:v>
      </x:c>
      <x:c r="N473" t="str">
        <x:v>AKTIF</x:v>
      </x:c>
      <x:c r="O473" t="str"/>
      <x:c r="P473" t="str"/>
      <x:c r="Q473" t="str"/>
      <x:c r="R473" t="str"/>
      <x:c r="S473" t="str"/>
      <x:c r="T473" t="str"/>
      <x:c r="U473" s="18" t="n">
        <x:v>46134.041666666664</x:v>
      </x:c>
      <x:c r="V473" t="str">
        <x:v>INITIAL_IMPORT</x:v>
      </x:c>
    </x:row>
    <x:row r="474">
      <x:c r="A474" t="str">
        <x:v>PRD-JVS-0473</x:v>
      </x:c>
      <x:c r="B474" t="str">
        <x:v>JVS-0473</x:v>
      </x:c>
      <x:c r="C474" t="str">
        <x:v>Oli Samping Motul</x:v>
      </x:c>
      <x:c r="D474" t="str">
        <x:v>Servis</x:v>
      </x:c>
      <x:c r="E474" t="str"/>
      <x:c r="F474" t="str"/>
      <x:c r="G474" s="12" t="n">
        <x:v>115</x:v>
      </x:c>
      <x:c r="H474" s="12" t="n">
        <x:v>115</x:v>
      </x:c>
      <x:c r="I474" s="12" t="n">
        <x:v>0</x:v>
      </x:c>
      <x:c r="J474" s="16" t="n">
        <x:v>0</x:v>
      </x:c>
      <x:c r="K474" s="14" t="n">
        <x:v>0</x:v>
      </x:c>
      <x:c r="L474" s="14" t="n">
        <x:v>1</x:v>
      </x:c>
      <x:c r="M474" t="str">
        <x:v>OUT OF STOCK</x:v>
      </x:c>
      <x:c r="N474" t="str">
        <x:v>AKTIF</x:v>
      </x:c>
      <x:c r="O474" t="str"/>
      <x:c r="P474" t="str"/>
      <x:c r="Q474" t="str"/>
      <x:c r="R474" t="str"/>
      <x:c r="S474" t="str"/>
      <x:c r="T474" t="str"/>
      <x:c r="U474" s="18" t="n">
        <x:v>46134.041666666664</x:v>
      </x:c>
      <x:c r="V474" t="str">
        <x:v>INITIAL_IMPORT</x:v>
      </x:c>
    </x:row>
    <x:row r="475">
      <x:c r="A475" t="str">
        <x:v>PRD-JVS-0474</x:v>
      </x:c>
      <x:c r="B475" t="str">
        <x:v>JVS-0474</x:v>
      </x:c>
      <x:c r="C475" t="str">
        <x:v>Oli Samping Orange</x:v>
      </x:c>
      <x:c r="D475" t="str">
        <x:v>Servis</x:v>
      </x:c>
      <x:c r="E475" t="str"/>
      <x:c r="F475" t="str"/>
      <x:c r="G475" s="12" t="n">
        <x:v>30</x:v>
      </x:c>
      <x:c r="H475" s="12" t="n">
        <x:v>30</x:v>
      </x:c>
      <x:c r="I475" s="12" t="n">
        <x:v>0</x:v>
      </x:c>
      <x:c r="J475" s="16" t="n">
        <x:v>0</x:v>
      </x:c>
      <x:c r="K475" s="14" t="n">
        <x:v>3</x:v>
      </x:c>
      <x:c r="L475" s="14" t="n">
        <x:v>1</x:v>
      </x:c>
      <x:c r="M475" t="str">
        <x:v>READY</x:v>
      </x:c>
      <x:c r="N475" t="str">
        <x:v>AKTIF</x:v>
      </x:c>
      <x:c r="O475" t="str"/>
      <x:c r="P475" t="str"/>
      <x:c r="Q475" t="str"/>
      <x:c r="R475" t="str"/>
      <x:c r="S475" t="str"/>
      <x:c r="T475" t="str"/>
      <x:c r="U475" s="18" t="n">
        <x:v>46134.041666666664</x:v>
      </x:c>
      <x:c r="V475" t="str">
        <x:v>INITIAL_IMPORT</x:v>
      </x:c>
    </x:row>
    <x:row r="476">
      <x:c r="A476" t="str">
        <x:v>PRD-JVS-0475</x:v>
      </x:c>
      <x:c r="B476" t="str">
        <x:v>JVS-0475</x:v>
      </x:c>
      <x:c r="C476" t="str">
        <x:v>Oli Samping Pertamina Mesran OB 1 Liter</x:v>
      </x:c>
      <x:c r="D476" t="str">
        <x:v>Servis</x:v>
      </x:c>
      <x:c r="E476" t="str"/>
      <x:c r="F476" t="str"/>
      <x:c r="G476" s="12" t="n">
        <x:v>48</x:v>
      </x:c>
      <x:c r="H476" s="12" t="n">
        <x:v>48</x:v>
      </x:c>
      <x:c r="I476" s="12" t="n">
        <x:v>0</x:v>
      </x:c>
      <x:c r="J476" s="16" t="n">
        <x:v>0</x:v>
      </x:c>
      <x:c r="K476" s="14" t="n">
        <x:v>3</x:v>
      </x:c>
      <x:c r="L476" s="14" t="n">
        <x:v>1</x:v>
      </x:c>
      <x:c r="M476" t="str">
        <x:v>READY</x:v>
      </x:c>
      <x:c r="N476" t="str">
        <x:v>AKTIF</x:v>
      </x:c>
      <x:c r="O476" t="str"/>
      <x:c r="P476" t="str"/>
      <x:c r="Q476" t="str"/>
      <x:c r="R476" t="str"/>
      <x:c r="S476" t="str"/>
      <x:c r="T476" t="str"/>
      <x:c r="U476" s="18" t="n">
        <x:v>46134.041666666664</x:v>
      </x:c>
      <x:c r="V476" t="str">
        <x:v>INITIAL_IMPORT</x:v>
      </x:c>
    </x:row>
    <x:row r="477">
      <x:c r="A477" t="str">
        <x:v>PRD-JVS-0476</x:v>
      </x:c>
      <x:c r="B477" t="str">
        <x:v>JVS-0476</x:v>
      </x:c>
      <x:c r="C477" t="str">
        <x:v>Packing ACC Spartan</x:v>
      </x:c>
      <x:c r="D477" t="str">
        <x:v>Servis</x:v>
      </x:c>
      <x:c r="E477" t="str">
        <x:v>SPARTAN</x:v>
      </x:c>
      <x:c r="F477" t="str"/>
      <x:c r="G477" s="12" t="n">
        <x:v>20</x:v>
      </x:c>
      <x:c r="H477" s="12" t="n">
        <x:v>20</x:v>
      </x:c>
      <x:c r="I477" s="12" t="n">
        <x:v>0</x:v>
      </x:c>
      <x:c r="J477" s="16" t="n">
        <x:v>0</x:v>
      </x:c>
      <x:c r="K477" s="14" t="n">
        <x:v>6</x:v>
      </x:c>
      <x:c r="L477" s="14" t="n">
        <x:v>1</x:v>
      </x:c>
      <x:c r="M477" t="str">
        <x:v>READY</x:v>
      </x:c>
      <x:c r="N477" t="str">
        <x:v>AKTIF</x:v>
      </x:c>
      <x:c r="O477" t="str"/>
      <x:c r="P477" t="str"/>
      <x:c r="Q477" t="str"/>
      <x:c r="R477" t="str"/>
      <x:c r="S477" t="str"/>
      <x:c r="T477" t="str"/>
      <x:c r="U477" s="18" t="n">
        <x:v>46134.041666666664</x:v>
      </x:c>
      <x:c r="V477" t="str">
        <x:v>INITIAL_IMPORT</x:v>
      </x:c>
    </x:row>
    <x:row r="478">
      <x:c r="A478" t="str">
        <x:v>PRD-JVS-0477</x:v>
      </x:c>
      <x:c r="B478" t="str">
        <x:v>JVS-0477</x:v>
      </x:c>
      <x:c r="C478" t="str">
        <x:v>Packing ACC Vespa Excel</x:v>
      </x:c>
      <x:c r="D478" t="str">
        <x:v>Servis</x:v>
      </x:c>
      <x:c r="E478" t="str">
        <x:v>EXCEL</x:v>
      </x:c>
      <x:c r="F478" t="str"/>
      <x:c r="G478" s="12" t="n">
        <x:v>20</x:v>
      </x:c>
      <x:c r="H478" s="12" t="n">
        <x:v>20</x:v>
      </x:c>
      <x:c r="I478" s="12" t="n">
        <x:v>0</x:v>
      </x:c>
      <x:c r="J478" s="16" t="n">
        <x:v>0</x:v>
      </x:c>
      <x:c r="K478" s="14" t="n">
        <x:v>2</x:v>
      </x:c>
      <x:c r="L478" s="14" t="n">
        <x:v>1</x:v>
      </x:c>
      <x:c r="M478" t="str">
        <x:v>READY</x:v>
      </x:c>
      <x:c r="N478" t="str">
        <x:v>AKTIF</x:v>
      </x:c>
      <x:c r="O478" t="str"/>
      <x:c r="P478" t="str"/>
      <x:c r="Q478" t="str"/>
      <x:c r="R478" t="str"/>
      <x:c r="S478" t="str"/>
      <x:c r="T478" t="str"/>
      <x:c r="U478" s="18" t="n">
        <x:v>46134.041666666664</x:v>
      </x:c>
      <x:c r="V478" t="str">
        <x:v>INITIAL_IMPORT</x:v>
      </x:c>
    </x:row>
    <x:row r="479">
      <x:c r="A479" t="str">
        <x:v>PRD-JVS-0478</x:v>
      </x:c>
      <x:c r="B479" t="str">
        <x:v>JVS-0478</x:v>
      </x:c>
      <x:c r="C479" t="str">
        <x:v>Packing ACC Vespa PS,Super</x:v>
      </x:c>
      <x:c r="D479" t="str">
        <x:v>Servis</x:v>
      </x:c>
      <x:c r="E479" t="str">
        <x:v>SUPER, PS</x:v>
      </x:c>
      <x:c r="F479" t="str"/>
      <x:c r="G479" s="12" t="n">
        <x:v>15</x:v>
      </x:c>
      <x:c r="H479" s="12" t="n">
        <x:v>15</x:v>
      </x:c>
      <x:c r="I479" s="12" t="n">
        <x:v>0</x:v>
      </x:c>
      <x:c r="J479" s="16" t="n">
        <x:v>0</x:v>
      </x:c>
      <x:c r="K479" s="14" t="n">
        <x:v>2</x:v>
      </x:c>
      <x:c r="L479" s="14" t="n">
        <x:v>1</x:v>
      </x:c>
      <x:c r="M479" t="str">
        <x:v>READY</x:v>
      </x:c>
      <x:c r="N479" t="str">
        <x:v>AKTIF</x:v>
      </x:c>
      <x:c r="O479" t="str"/>
      <x:c r="P479" t="str"/>
      <x:c r="Q479" t="str"/>
      <x:c r="R479" t="str"/>
      <x:c r="S479" t="str"/>
      <x:c r="T479" t="str"/>
      <x:c r="U479" s="18" t="n">
        <x:v>46134.041666666664</x:v>
      </x:c>
      <x:c r="V479" t="str">
        <x:v>INITIAL_IMPORT</x:v>
      </x:c>
    </x:row>
    <x:row r="480">
      <x:c r="A480" t="str">
        <x:v>PRD-JVS-0479</x:v>
      </x:c>
      <x:c r="B480" t="str">
        <x:v>JVS-0479</x:v>
      </x:c>
      <x:c r="C480" t="str">
        <x:v>Packing ACC Vespa PTS</x:v>
      </x:c>
      <x:c r="D480" t="str">
        <x:v>Servis</x:v>
      </x:c>
      <x:c r="E480" t="str">
        <x:v>PTS</x:v>
      </x:c>
      <x:c r="F480" t="str"/>
      <x:c r="G480" s="12" t="n">
        <x:v>18</x:v>
      </x:c>
      <x:c r="H480" s="12" t="n">
        <x:v>18</x:v>
      </x:c>
      <x:c r="I480" s="12" t="n">
        <x:v>0</x:v>
      </x:c>
      <x:c r="J480" s="16" t="n">
        <x:v>0</x:v>
      </x:c>
      <x:c r="K480" s="14" t="n">
        <x:v>2</x:v>
      </x:c>
      <x:c r="L480" s="14" t="n">
        <x:v>1</x:v>
      </x:c>
      <x:c r="M480" t="str">
        <x:v>READY</x:v>
      </x:c>
      <x:c r="N480" t="str">
        <x:v>AKTIF</x:v>
      </x:c>
      <x:c r="O480" t="str"/>
      <x:c r="P480" t="str"/>
      <x:c r="Q480" t="str"/>
      <x:c r="R480" t="str"/>
      <x:c r="S480" t="str"/>
      <x:c r="T480" t="str"/>
      <x:c r="U480" s="18" t="n">
        <x:v>46134.041666666664</x:v>
      </x:c>
      <x:c r="V480" t="str">
        <x:v>INITIAL_IMPORT</x:v>
      </x:c>
    </x:row>
    <x:row r="481">
      <x:c r="A481" t="str">
        <x:v>PRD-JVS-0480</x:v>
      </x:c>
      <x:c r="B481" t="str">
        <x:v>JVS-0480</x:v>
      </x:c>
      <x:c r="C481" t="str">
        <x:v>Packing ACC Vespa PX</x:v>
      </x:c>
      <x:c r="D481" t="str">
        <x:v>Servis</x:v>
      </x:c>
      <x:c r="E481" t="str">
        <x:v>PX</x:v>
      </x:c>
      <x:c r="F481" t="str"/>
      <x:c r="G481" s="12" t="n">
        <x:v>15</x:v>
      </x:c>
      <x:c r="H481" s="12" t="n">
        <x:v>15</x:v>
      </x:c>
      <x:c r="I481" s="12" t="n">
        <x:v>0</x:v>
      </x:c>
      <x:c r="J481" s="16" t="n">
        <x:v>0</x:v>
      </x:c>
      <x:c r="K481" s="14" t="n">
        <x:v>2</x:v>
      </x:c>
      <x:c r="L481" s="14" t="n">
        <x:v>1</x:v>
      </x:c>
      <x:c r="M481" t="str">
        <x:v>READY</x:v>
      </x:c>
      <x:c r="N481" t="str">
        <x:v>AKTIF</x:v>
      </x:c>
      <x:c r="O481" t="str"/>
      <x:c r="P481" t="str"/>
      <x:c r="Q481" t="str"/>
      <x:c r="R481" t="str"/>
      <x:c r="S481" t="str"/>
      <x:c r="T481" t="str"/>
      <x:c r="U481" s="18" t="n">
        <x:v>46134.041666666664</x:v>
      </x:c>
      <x:c r="V481" t="str">
        <x:v>INITIAL_IMPORT</x:v>
      </x:c>
    </x:row>
    <x:row r="482">
      <x:c r="A482" t="str">
        <x:v>PRD-JVS-0481</x:v>
      </x:c>
      <x:c r="B482" t="str">
        <x:v>JVS-0481</x:v>
      </x:c>
      <x:c r="C482" t="str">
        <x:v>Packing ACC Vespa Sprint</x:v>
      </x:c>
      <x:c r="D482" t="str">
        <x:v>Servis</x:v>
      </x:c>
      <x:c r="E482" t="str">
        <x:v>SPRINT</x:v>
      </x:c>
      <x:c r="F482" t="str"/>
      <x:c r="G482" s="12" t="n">
        <x:v>15</x:v>
      </x:c>
      <x:c r="H482" s="12" t="n">
        <x:v>15</x:v>
      </x:c>
      <x:c r="I482" s="12" t="n">
        <x:v>0</x:v>
      </x:c>
      <x:c r="J482" s="16" t="n">
        <x:v>0</x:v>
      </x:c>
      <x:c r="K482" s="14" t="n">
        <x:v>1</x:v>
      </x:c>
      <x:c r="L482" s="14" t="n">
        <x:v>1</x:v>
      </x:c>
      <x:c r="M482" t="str">
        <x:v>LOW</x:v>
      </x:c>
      <x:c r="N482" t="str">
        <x:v>AKTIF</x:v>
      </x:c>
      <x:c r="O482" t="str"/>
      <x:c r="P482" t="str"/>
      <x:c r="Q482" t="str"/>
      <x:c r="R482" t="str"/>
      <x:c r="S482" t="str"/>
      <x:c r="T482" t="str"/>
      <x:c r="U482" s="18" t="n">
        <x:v>46134.041666666664</x:v>
      </x:c>
      <x:c r="V482" t="str">
        <x:v>INITIAL_IMPORT</x:v>
      </x:c>
    </x:row>
    <x:row r="483">
      <x:c r="A483" t="str">
        <x:v>PRD-JVS-0482</x:v>
      </x:c>
      <x:c r="B483" t="str">
        <x:v>JVS-0482</x:v>
      </x:c>
      <x:c r="C483" t="str">
        <x:v>Packing Bak Perseneling Vespa PX, Super</x:v>
      </x:c>
      <x:c r="D483" t="str">
        <x:v>Servis</x:v>
      </x:c>
      <x:c r="E483" t="str">
        <x:v>PX, SUPER</x:v>
      </x:c>
      <x:c r="F483" t="str"/>
      <x:c r="G483" s="12" t="n">
        <x:v>3</x:v>
      </x:c>
      <x:c r="H483" s="12" t="n">
        <x:v>3</x:v>
      </x:c>
      <x:c r="I483" s="12" t="n">
        <x:v>0</x:v>
      </x:c>
      <x:c r="J483" s="16" t="n">
        <x:v>0</x:v>
      </x:c>
      <x:c r="K483" s="14" t="n">
        <x:v>7</x:v>
      </x:c>
      <x:c r="L483" s="14" t="n">
        <x:v>1</x:v>
      </x:c>
      <x:c r="M483" t="str">
        <x:v>READY</x:v>
      </x:c>
      <x:c r="N483" t="str">
        <x:v>AKTIF</x:v>
      </x:c>
      <x:c r="O483" t="str"/>
      <x:c r="P483" t="str"/>
      <x:c r="Q483" t="str"/>
      <x:c r="R483" t="str"/>
      <x:c r="S483" t="str"/>
      <x:c r="T483" t="str"/>
      <x:c r="U483" s="18" t="n">
        <x:v>46134.041666666664</x:v>
      </x:c>
      <x:c r="V483" t="str">
        <x:v>INITIAL_IMPORT</x:v>
      </x:c>
    </x:row>
    <x:row r="484">
      <x:c r="A484" t="str">
        <x:v>PRD-JVS-0483</x:v>
      </x:c>
      <x:c r="B484" t="str">
        <x:v>JVS-0483</x:v>
      </x:c>
      <x:c r="C484" t="str">
        <x:v>Packing Bawah karburator vespa PX Super</x:v>
      </x:c>
      <x:c r="D484" t="str">
        <x:v>Mesin</x:v>
      </x:c>
      <x:c r="E484" t="str">
        <x:v>PX, SUPER</x:v>
      </x:c>
      <x:c r="F484" t="str"/>
      <x:c r="G484" s="12" t="n">
        <x:v>2.5</x:v>
      </x:c>
      <x:c r="H484" s="12" t="n">
        <x:v>2.5</x:v>
      </x:c>
      <x:c r="I484" s="12" t="n">
        <x:v>0</x:v>
      </x:c>
      <x:c r="J484" s="16" t="n">
        <x:v>0</x:v>
      </x:c>
      <x:c r="K484" s="14" t="n">
        <x:v>12</x:v>
      </x:c>
      <x:c r="L484" s="14" t="n">
        <x:v>1</x:v>
      </x:c>
      <x:c r="M484" t="str">
        <x:v>READY</x:v>
      </x:c>
      <x:c r="N484" t="str">
        <x:v>AKTIF</x:v>
      </x:c>
      <x:c r="O484" t="str"/>
      <x:c r="P484" t="str"/>
      <x:c r="Q484" t="str"/>
      <x:c r="R484" t="str"/>
      <x:c r="S484" t="str"/>
      <x:c r="T484" t="str"/>
      <x:c r="U484" s="18" t="n">
        <x:v>46134.041666666664</x:v>
      </x:c>
      <x:c r="V484" t="str">
        <x:v>INITIAL_IMPORT</x:v>
      </x:c>
    </x:row>
    <x:row r="485">
      <x:c r="A485" t="str">
        <x:v>PRD-JVS-0484</x:v>
      </x:c>
      <x:c r="B485" t="str">
        <x:v>JVS-0484</x:v>
      </x:c>
      <x:c r="C485" t="str">
        <x:v>Packing Bawah karburator vespa PXE Excel</x:v>
      </x:c>
      <x:c r="D485" t="str">
        <x:v>Mesin</x:v>
      </x:c>
      <x:c r="E485" t="str">
        <x:v>EXCEL, PXE, PX</x:v>
      </x:c>
      <x:c r="F485" t="str"/>
      <x:c r="G485" s="12" t="n">
        <x:v>3</x:v>
      </x:c>
      <x:c r="H485" s="12" t="n">
        <x:v>3</x:v>
      </x:c>
      <x:c r="I485" s="12" t="n">
        <x:v>0</x:v>
      </x:c>
      <x:c r="J485" s="16" t="n">
        <x:v>0</x:v>
      </x:c>
      <x:c r="K485" s="14" t="n">
        <x:v>1</x:v>
      </x:c>
      <x:c r="L485" s="14" t="n">
        <x:v>1</x:v>
      </x:c>
      <x:c r="M485" t="str">
        <x:v>LOW</x:v>
      </x:c>
      <x:c r="N485" t="str">
        <x:v>AKTIF</x:v>
      </x:c>
      <x:c r="O485" t="str"/>
      <x:c r="P485" t="str"/>
      <x:c r="Q485" t="str"/>
      <x:c r="R485" t="str"/>
      <x:c r="S485" t="str"/>
      <x:c r="T485" t="str"/>
      <x:c r="U485" s="18" t="n">
        <x:v>46134.041666666664</x:v>
      </x:c>
      <x:c r="V485" t="str">
        <x:v>INITIAL_IMPORT</x:v>
      </x:c>
    </x:row>
    <x:row r="486">
      <x:c r="A486" t="str">
        <x:v>PRD-JVS-0485</x:v>
      </x:c>
      <x:c r="B486" t="str">
        <x:v>JVS-0485</x:v>
      </x:c>
      <x:c r="C486" t="str">
        <x:v>Packing Bawah Mangkok karburator vespa PX Super</x:v>
      </x:c>
      <x:c r="D486" t="str">
        <x:v>Mesin</x:v>
      </x:c>
      <x:c r="E486" t="str">
        <x:v>PX, SUPER</x:v>
      </x:c>
      <x:c r="F486" t="str"/>
      <x:c r="G486" s="12" t="n">
        <x:v>2.5</x:v>
      </x:c>
      <x:c r="H486" s="12" t="n">
        <x:v>2.5</x:v>
      </x:c>
      <x:c r="I486" s="12" t="n">
        <x:v>0</x:v>
      </x:c>
      <x:c r="J486" s="16" t="n">
        <x:v>0</x:v>
      </x:c>
      <x:c r="K486" s="14" t="n">
        <x:v>13</x:v>
      </x:c>
      <x:c r="L486" s="14" t="n">
        <x:v>1</x:v>
      </x:c>
      <x:c r="M486" t="str">
        <x:v>READY</x:v>
      </x:c>
      <x:c r="N486" t="str">
        <x:v>AKTIF</x:v>
      </x:c>
      <x:c r="O486" t="str"/>
      <x:c r="P486" t="str"/>
      <x:c r="Q486" t="str"/>
      <x:c r="R486" t="str"/>
      <x:c r="S486" t="str"/>
      <x:c r="T486" t="str"/>
      <x:c r="U486" s="18" t="n">
        <x:v>46134.041666666664</x:v>
      </x:c>
      <x:c r="V486" t="str">
        <x:v>INITIAL_IMPORT</x:v>
      </x:c>
    </x:row>
    <x:row r="487">
      <x:c r="A487" t="str">
        <x:v>PRD-JVS-0486</x:v>
      </x:c>
      <x:c r="B487" t="str">
        <x:v>JVS-0486</x:v>
      </x:c>
      <x:c r="C487" t="str">
        <x:v>Packing Biasa Vespa Excel</x:v>
      </x:c>
      <x:c r="D487" t="str">
        <x:v>Servis</x:v>
      </x:c>
      <x:c r="E487" t="str">
        <x:v>EXCEL</x:v>
      </x:c>
      <x:c r="F487" t="str"/>
      <x:c r="G487" s="12" t="n">
        <x:v>8.5</x:v>
      </x:c>
      <x:c r="H487" s="12" t="n">
        <x:v>8.5</x:v>
      </x:c>
      <x:c r="I487" s="12" t="n">
        <x:v>0</x:v>
      </x:c>
      <x:c r="J487" s="16" t="n">
        <x:v>0</x:v>
      </x:c>
      <x:c r="K487" s="14" t="n">
        <x:v>9</x:v>
      </x:c>
      <x:c r="L487" s="14" t="n">
        <x:v>1</x:v>
      </x:c>
      <x:c r="M487" t="str">
        <x:v>READY</x:v>
      </x:c>
      <x:c r="N487" t="str">
        <x:v>AKTIF</x:v>
      </x:c>
      <x:c r="O487" t="str"/>
      <x:c r="P487" t="str"/>
      <x:c r="Q487" t="str"/>
      <x:c r="R487" t="str"/>
      <x:c r="S487" t="str"/>
      <x:c r="T487" t="str"/>
      <x:c r="U487" s="18" t="n">
        <x:v>46134.041666666664</x:v>
      </x:c>
      <x:c r="V487" t="str">
        <x:v>INITIAL_IMPORT</x:v>
      </x:c>
    </x:row>
    <x:row r="488">
      <x:c r="A488" t="str">
        <x:v>PRD-JVS-0487</x:v>
      </x:c>
      <x:c r="B488" t="str">
        <x:v>JVS-0487</x:v>
      </x:c>
      <x:c r="C488" t="str">
        <x:v>Packing Biasa Vespa PX</x:v>
      </x:c>
      <x:c r="D488" t="str">
        <x:v>Servis</x:v>
      </x:c>
      <x:c r="E488" t="str">
        <x:v>PX</x:v>
      </x:c>
      <x:c r="F488" t="str"/>
      <x:c r="G488" s="12" t="n">
        <x:v>8</x:v>
      </x:c>
      <x:c r="H488" s="12" t="n">
        <x:v>8</x:v>
      </x:c>
      <x:c r="I488" s="12" t="n">
        <x:v>0</x:v>
      </x:c>
      <x:c r="J488" s="16" t="n">
        <x:v>0</x:v>
      </x:c>
      <x:c r="K488" s="14" t="n">
        <x:v>2</x:v>
      </x:c>
      <x:c r="L488" s="14" t="n">
        <x:v>1</x:v>
      </x:c>
      <x:c r="M488" t="str">
        <x:v>READY</x:v>
      </x:c>
      <x:c r="N488" t="str">
        <x:v>AKTIF</x:v>
      </x:c>
      <x:c r="O488" t="str"/>
      <x:c r="P488" t="str"/>
      <x:c r="Q488" t="str"/>
      <x:c r="R488" t="str"/>
      <x:c r="S488" t="str"/>
      <x:c r="T488" t="str"/>
      <x:c r="U488" s="18" t="n">
        <x:v>46134.041666666664</x:v>
      </x:c>
      <x:c r="V488" t="str">
        <x:v>INITIAL_IMPORT</x:v>
      </x:c>
    </x:row>
    <x:row r="489">
      <x:c r="A489" t="str">
        <x:v>PRD-JVS-0488</x:v>
      </x:c>
      <x:c r="B489" t="str">
        <x:v>JVS-0488</x:v>
      </x:c>
      <x:c r="C489" t="str">
        <x:v>Packing Biasa Vespa Super</x:v>
      </x:c>
      <x:c r="D489" t="str">
        <x:v>Servis</x:v>
      </x:c>
      <x:c r="E489" t="str">
        <x:v>SUPER</x:v>
      </x:c>
      <x:c r="F489" t="str"/>
      <x:c r="G489" s="12" t="n">
        <x:v>8</x:v>
      </x:c>
      <x:c r="H489" s="12" t="n">
        <x:v>8</x:v>
      </x:c>
      <x:c r="I489" s="12" t="n">
        <x:v>0</x:v>
      </x:c>
      <x:c r="J489" s="16" t="n">
        <x:v>0</x:v>
      </x:c>
      <x:c r="K489" s="14" t="n">
        <x:v>2</x:v>
      </x:c>
      <x:c r="L489" s="14" t="n">
        <x:v>1</x:v>
      </x:c>
      <x:c r="M489" t="str">
        <x:v>READY</x:v>
      </x:c>
      <x:c r="N489" t="str">
        <x:v>AKTIF</x:v>
      </x:c>
      <x:c r="O489" t="str"/>
      <x:c r="P489" t="str"/>
      <x:c r="Q489" t="str"/>
      <x:c r="R489" t="str"/>
      <x:c r="S489" t="str"/>
      <x:c r="T489" t="str"/>
      <x:c r="U489" s="18" t="n">
        <x:v>46134.041666666664</x:v>
      </x:c>
      <x:c r="V489" t="str">
        <x:v>INITIAL_IMPORT</x:v>
      </x:c>
    </x:row>
    <x:row r="490">
      <x:c r="A490" t="str">
        <x:v>PRD-JVS-0489</x:v>
      </x:c>
      <x:c r="B490" t="str">
        <x:v>JVS-0489</x:v>
      </x:c>
      <x:c r="C490" t="str">
        <x:v>Packing Blok Bawah Led 2 Biasa Plat</x:v>
      </x:c>
      <x:c r="D490" t="str">
        <x:v>Mesin</x:v>
      </x:c>
      <x:c r="E490" t="str"/>
      <x:c r="F490" t="str"/>
      <x:c r="G490" s="12" t="n">
        <x:v>5</x:v>
      </x:c>
      <x:c r="H490" s="12" t="n">
        <x:v>5</x:v>
      </x:c>
      <x:c r="I490" s="12" t="n">
        <x:v>0</x:v>
      </x:c>
      <x:c r="J490" s="16" t="n">
        <x:v>0</x:v>
      </x:c>
      <x:c r="K490" s="14" t="n">
        <x:v>22</x:v>
      </x:c>
      <x:c r="L490" s="14" t="n">
        <x:v>1</x:v>
      </x:c>
      <x:c r="M490" t="str">
        <x:v>READY</x:v>
      </x:c>
      <x:c r="N490" t="str">
        <x:v>AKTIF</x:v>
      </x:c>
      <x:c r="O490" t="str"/>
      <x:c r="P490" t="str"/>
      <x:c r="Q490" t="str"/>
      <x:c r="R490" t="str"/>
      <x:c r="S490" t="str"/>
      <x:c r="T490" t="str"/>
      <x:c r="U490" s="18" t="n">
        <x:v>46134.041666666664</x:v>
      </x:c>
      <x:c r="V490" t="str">
        <x:v>INITIAL_IMPORT</x:v>
      </x:c>
    </x:row>
    <x:row r="491">
      <x:c r="A491" t="str">
        <x:v>PRD-JVS-0490</x:v>
      </x:c>
      <x:c r="B491" t="str">
        <x:v>JVS-0490</x:v>
      </x:c>
      <x:c r="C491" t="str">
        <x:v>Packing Blok Bawah Led 3 Biasa Kertas</x:v>
      </x:c>
      <x:c r="D491" t="str">
        <x:v>Mesin</x:v>
      </x:c>
      <x:c r="E491" t="str"/>
      <x:c r="F491" t="str"/>
      <x:c r="G491" s="12" t="n">
        <x:v>2.5</x:v>
      </x:c>
      <x:c r="H491" s="12" t="n">
        <x:v>2.5</x:v>
      </x:c>
      <x:c r="I491" s="12" t="n">
        <x:v>0</x:v>
      </x:c>
      <x:c r="J491" s="16" t="n">
        <x:v>0</x:v>
      </x:c>
      <x:c r="K491" s="14" t="n">
        <x:v>12</x:v>
      </x:c>
      <x:c r="L491" s="14" t="n">
        <x:v>1</x:v>
      </x:c>
      <x:c r="M491" t="str">
        <x:v>READY</x:v>
      </x:c>
      <x:c r="N491" t="str">
        <x:v>AKTIF</x:v>
      </x:c>
      <x:c r="O491" t="str"/>
      <x:c r="P491" t="str"/>
      <x:c r="Q491" t="str"/>
      <x:c r="R491" t="str"/>
      <x:c r="S491" t="str"/>
      <x:c r="T491" t="str"/>
      <x:c r="U491" s="18" t="n">
        <x:v>46134.041666666664</x:v>
      </x:c>
      <x:c r="V491" t="str">
        <x:v>INITIAL_IMPORT</x:v>
      </x:c>
    </x:row>
    <x:row r="492">
      <x:c r="A492" t="str">
        <x:v>PRD-JVS-0491</x:v>
      </x:c>
      <x:c r="B492" t="str">
        <x:v>JVS-0491</x:v>
      </x:c>
      <x:c r="C492" t="str">
        <x:v>Packing Blok Bawah Led 3 Biasa Plat</x:v>
      </x:c>
      <x:c r="D492" t="str">
        <x:v>Mesin</x:v>
      </x:c>
      <x:c r="E492" t="str"/>
      <x:c r="F492" t="str"/>
      <x:c r="G492" s="12" t="n">
        <x:v>6</x:v>
      </x:c>
      <x:c r="H492" s="12" t="n">
        <x:v>6</x:v>
      </x:c>
      <x:c r="I492" s="12" t="n">
        <x:v>0</x:v>
      </x:c>
      <x:c r="J492" s="16" t="n">
        <x:v>0</x:v>
      </x:c>
      <x:c r="K492" s="14" t="n">
        <x:v>0</x:v>
      </x:c>
      <x:c r="L492" s="14" t="n">
        <x:v>1</x:v>
      </x:c>
      <x:c r="M492" t="str">
        <x:v>OUT OF STOCK</x:v>
      </x:c>
      <x:c r="N492" t="str">
        <x:v>AKTIF</x:v>
      </x:c>
      <x:c r="O492" t="str"/>
      <x:c r="P492" t="str"/>
      <x:c r="Q492" t="str"/>
      <x:c r="R492" t="str"/>
      <x:c r="S492" t="str"/>
      <x:c r="T492" t="str"/>
      <x:c r="U492" s="18" t="n">
        <x:v>46134.041666666664</x:v>
      </x:c>
      <x:c r="V492" t="str">
        <x:v>INITIAL_IMPORT</x:v>
      </x:c>
    </x:row>
    <x:row r="493">
      <x:c r="A493" t="str">
        <x:v>PRD-JVS-0492</x:v>
      </x:c>
      <x:c r="B493" t="str">
        <x:v>JVS-0492</x:v>
      </x:c>
      <x:c r="C493" t="str">
        <x:v>Packing Blok Bawah Led 3 Danmotor</x:v>
      </x:c>
      <x:c r="D493" t="str">
        <x:v>Mesin</x:v>
      </x:c>
      <x:c r="E493" t="str"/>
      <x:c r="F493" t="str"/>
      <x:c r="G493" s="12" t="n">
        <x:v>13</x:v>
      </x:c>
      <x:c r="H493" s="12" t="n">
        <x:v>13</x:v>
      </x:c>
      <x:c r="I493" s="12" t="n">
        <x:v>0</x:v>
      </x:c>
      <x:c r="J493" s="16" t="n">
        <x:v>0</x:v>
      </x:c>
      <x:c r="K493" s="14" t="n">
        <x:v>6</x:v>
      </x:c>
      <x:c r="L493" s="14" t="n">
        <x:v>1</x:v>
      </x:c>
      <x:c r="M493" t="str">
        <x:v>READY</x:v>
      </x:c>
      <x:c r="N493" t="str">
        <x:v>AKTIF</x:v>
      </x:c>
      <x:c r="O493" t="str"/>
      <x:c r="P493" t="str"/>
      <x:c r="Q493" t="str"/>
      <x:c r="R493" t="str"/>
      <x:c r="S493" t="str"/>
      <x:c r="T493" t="str"/>
      <x:c r="U493" s="18" t="n">
        <x:v>46134.041666666664</x:v>
      </x:c>
      <x:c r="V493" t="str">
        <x:v>INITIAL_IMPORT</x:v>
      </x:c>
    </x:row>
    <x:row r="494">
      <x:c r="A494" t="str">
        <x:v>PRD-JVS-0493</x:v>
      </x:c>
      <x:c r="B494" t="str">
        <x:v>JVS-0493</x:v>
      </x:c>
      <x:c r="C494" t="str">
        <x:v>Packing cangklong bagian deksel</x:v>
      </x:c>
      <x:c r="D494" t="str">
        <x:v>Servis</x:v>
      </x:c>
      <x:c r="E494" t="str"/>
      <x:c r="F494" t="str"/>
      <x:c r="G494" s="12" t="str"/>
      <x:c r="H494" s="12" t="str"/>
      <x:c r="I494" s="12" t="str"/>
      <x:c r="J494" s="16" t="str"/>
      <x:c r="K494" s="14" t="n">
        <x:v>0</x:v>
      </x:c>
      <x:c r="L494" s="14" t="n">
        <x:v>1</x:v>
      </x:c>
      <x:c r="M494" t="str">
        <x:v>OUT OF STOCK</x:v>
      </x:c>
      <x:c r="N494" t="str">
        <x:v>AKTIF</x:v>
      </x:c>
      <x:c r="O494" t="str"/>
      <x:c r="P494" t="str"/>
      <x:c r="Q494" t="str"/>
      <x:c r="R494" t="str"/>
      <x:c r="S494" t="str"/>
      <x:c r="T494" t="str"/>
      <x:c r="U494" s="18" t="n">
        <x:v>46134.041666666664</x:v>
      </x:c>
      <x:c r="V494" t="str">
        <x:v>INITIAL_IMPORT</x:v>
      </x:c>
    </x:row>
    <x:row r="495">
      <x:c r="A495" t="str">
        <x:v>PRD-JVS-0494</x:v>
      </x:c>
      <x:c r="B495" t="str">
        <x:v>JVS-0494</x:v>
      </x:c>
      <x:c r="C495" t="str">
        <x:v>Packing Deksel Karburator Vespa</x:v>
      </x:c>
      <x:c r="D495" t="str">
        <x:v>Mesin</x:v>
      </x:c>
      <x:c r="E495" t="str"/>
      <x:c r="F495" t="str"/>
      <x:c r="G495" s="12" t="str"/>
      <x:c r="H495" s="12" t="str"/>
      <x:c r="I495" s="12" t="str"/>
      <x:c r="J495" s="16" t="str"/>
      <x:c r="K495" s="14" t="n">
        <x:v>10</x:v>
      </x:c>
      <x:c r="L495" s="14" t="n">
        <x:v>1</x:v>
      </x:c>
      <x:c r="M495" t="str">
        <x:v>READY</x:v>
      </x:c>
      <x:c r="N495" t="str">
        <x:v>AKTIF</x:v>
      </x:c>
      <x:c r="O495" t="str"/>
      <x:c r="P495" t="str"/>
      <x:c r="Q495" t="str"/>
      <x:c r="R495" t="str"/>
      <x:c r="S495" t="str"/>
      <x:c r="T495" t="str"/>
      <x:c r="U495" s="18" t="n">
        <x:v>46134.041666666664</x:v>
      </x:c>
      <x:c r="V495" t="str">
        <x:v>INITIAL_IMPORT</x:v>
      </x:c>
    </x:row>
    <x:row r="496">
      <x:c r="A496" t="str">
        <x:v>PRD-JVS-0495</x:v>
      </x:c>
      <x:c r="B496" t="str">
        <x:v>JVS-0495</x:v>
      </x:c>
      <x:c r="C496" t="str">
        <x:v>Packing Head Vespa Asbes</x:v>
      </x:c>
      <x:c r="D496" t="str">
        <x:v>Mesin</x:v>
      </x:c>
      <x:c r="E496" t="str"/>
      <x:c r="F496" t="str"/>
      <x:c r="G496" s="12" t="n">
        <x:v>10</x:v>
      </x:c>
      <x:c r="H496" s="12" t="n">
        <x:v>10</x:v>
      </x:c>
      <x:c r="I496" s="12" t="n">
        <x:v>0</x:v>
      </x:c>
      <x:c r="J496" s="16" t="n">
        <x:v>0</x:v>
      </x:c>
      <x:c r="K496" s="14" t="n">
        <x:v>2</x:v>
      </x:c>
      <x:c r="L496" s="14" t="n">
        <x:v>1</x:v>
      </x:c>
      <x:c r="M496" t="str">
        <x:v>READY</x:v>
      </x:c>
      <x:c r="N496" t="str">
        <x:v>AKTIF</x:v>
      </x:c>
      <x:c r="O496" t="str"/>
      <x:c r="P496" t="str"/>
      <x:c r="Q496" t="str"/>
      <x:c r="R496" t="str"/>
      <x:c r="S496" t="str"/>
      <x:c r="T496" t="str"/>
      <x:c r="U496" s="18" t="n">
        <x:v>46134.041666666664</x:v>
      </x:c>
      <x:c r="V496" t="str">
        <x:v>INITIAL_IMPORT</x:v>
      </x:c>
    </x:row>
    <x:row r="497">
      <x:c r="A497" t="str">
        <x:v>PRD-JVS-0496</x:v>
      </x:c>
      <x:c r="B497" t="str">
        <x:v>JVS-0496</x:v>
      </x:c>
      <x:c r="C497" t="str">
        <x:v>Packing Head Vespa Biasa</x:v>
      </x:c>
      <x:c r="D497" t="str">
        <x:v>Mesin</x:v>
      </x:c>
      <x:c r="E497" t="str"/>
      <x:c r="F497" t="str"/>
      <x:c r="G497" s="12" t="n">
        <x:v>5</x:v>
      </x:c>
      <x:c r="H497" s="12" t="n">
        <x:v>5</x:v>
      </x:c>
      <x:c r="I497" s="12" t="n">
        <x:v>0</x:v>
      </x:c>
      <x:c r="J497" s="16" t="n">
        <x:v>0</x:v>
      </x:c>
      <x:c r="K497" s="14" t="n">
        <x:v>0</x:v>
      </x:c>
      <x:c r="L497" s="14" t="n">
        <x:v>1</x:v>
      </x:c>
      <x:c r="M497" t="str">
        <x:v>OUT OF STOCK</x:v>
      </x:c>
      <x:c r="N497" t="str">
        <x:v>AKTIF</x:v>
      </x:c>
      <x:c r="O497" t="str"/>
      <x:c r="P497" t="str"/>
      <x:c r="Q497" t="str"/>
      <x:c r="R497" t="str"/>
      <x:c r="S497" t="str"/>
      <x:c r="T497" t="str"/>
      <x:c r="U497" s="18" t="n">
        <x:v>46134.041666666664</x:v>
      </x:c>
      <x:c r="V497" t="str">
        <x:v>INITIAL_IMPORT</x:v>
      </x:c>
    </x:row>
    <x:row r="498">
      <x:c r="A498" t="str">
        <x:v>PRD-JVS-0497</x:v>
      </x:c>
      <x:c r="B498" t="str">
        <x:v>JVS-0497</x:v>
      </x:c>
      <x:c r="C498" t="str">
        <x:v>Packing karburator vespa excel exclusive</x:v>
      </x:c>
      <x:c r="D498" t="str">
        <x:v>Mesin</x:v>
      </x:c>
      <x:c r="E498" t="str">
        <x:v>EXCEL, EXCLUSIVE</x:v>
      </x:c>
      <x:c r="F498" t="str"/>
      <x:c r="G498" s="12" t="n">
        <x:v>5</x:v>
      </x:c>
      <x:c r="H498" s="12" t="n">
        <x:v>5</x:v>
      </x:c>
      <x:c r="I498" s="12" t="n">
        <x:v>0</x:v>
      </x:c>
      <x:c r="J498" s="16" t="n">
        <x:v>0</x:v>
      </x:c>
      <x:c r="K498" s="14" t="n">
        <x:v>5</x:v>
      </x:c>
      <x:c r="L498" s="14" t="n">
        <x:v>1</x:v>
      </x:c>
      <x:c r="M498" t="str">
        <x:v>READY</x:v>
      </x:c>
      <x:c r="N498" t="str">
        <x:v>AKTIF</x:v>
      </x:c>
      <x:c r="O498" t="str"/>
      <x:c r="P498" t="str"/>
      <x:c r="Q498" t="str"/>
      <x:c r="R498" t="str"/>
      <x:c r="S498" t="str"/>
      <x:c r="T498" t="str"/>
      <x:c r="U498" s="18" t="n">
        <x:v>46134.041666666664</x:v>
      </x:c>
      <x:c r="V498" t="str">
        <x:v>INITIAL_IMPORT</x:v>
      </x:c>
    </x:row>
    <x:row r="499">
      <x:c r="A499" t="str">
        <x:v>PRD-JVS-0498</x:v>
      </x:c>
      <x:c r="B499" t="str">
        <x:v>JVS-0498</x:v>
      </x:c>
      <x:c r="C499" t="str">
        <x:v>Packing karburator vespa px super sprint ps</x:v>
      </x:c>
      <x:c r="D499" t="str">
        <x:v>Mesin</x:v>
      </x:c>
      <x:c r="E499" t="str">
        <x:v>PX, SUPER, SPRINT, PS</x:v>
      </x:c>
      <x:c r="F499" t="str"/>
      <x:c r="G499" s="12" t="n">
        <x:v>5</x:v>
      </x:c>
      <x:c r="H499" s="12" t="n">
        <x:v>5</x:v>
      </x:c>
      <x:c r="I499" s="12" t="n">
        <x:v>0</x:v>
      </x:c>
      <x:c r="J499" s="16" t="n">
        <x:v>0</x:v>
      </x:c>
      <x:c r="K499" s="14" t="n">
        <x:v>0</x:v>
      </x:c>
      <x:c r="L499" s="14" t="n">
        <x:v>1</x:v>
      </x:c>
      <x:c r="M499" t="str">
        <x:v>OUT OF STOCK</x:v>
      </x:c>
      <x:c r="N499" t="str">
        <x:v>AKTIF</x:v>
      </x:c>
      <x:c r="O499" t="str"/>
      <x:c r="P499" t="str"/>
      <x:c r="Q499" t="str"/>
      <x:c r="R499" t="str"/>
      <x:c r="S499" t="str"/>
      <x:c r="T499" t="str"/>
      <x:c r="U499" s="18" t="n">
        <x:v>46134.041666666664</x:v>
      </x:c>
      <x:c r="V499" t="str">
        <x:v>INITIAL_IMPORT</x:v>
      </x:c>
    </x:row>
    <x:row r="500">
      <x:c r="A500" t="str">
        <x:v>PRD-JVS-0499</x:v>
      </x:c>
      <x:c r="B500" t="str">
        <x:v>JVS-0499</x:v>
      </x:c>
      <x:c r="C500" t="str">
        <x:v>Packing Set mesin PX Fuboru</x:v>
      </x:c>
      <x:c r="D500" t="str">
        <x:v>Servis</x:v>
      </x:c>
      <x:c r="E500" t="str">
        <x:v>PX</x:v>
      </x:c>
      <x:c r="F500" t="str"/>
      <x:c r="G500" s="12" t="n">
        <x:v>38</x:v>
      </x:c>
      <x:c r="H500" s="12" t="n">
        <x:v>38</x:v>
      </x:c>
      <x:c r="I500" s="12" t="n">
        <x:v>0</x:v>
      </x:c>
      <x:c r="J500" s="16" t="n">
        <x:v>0</x:v>
      </x:c>
      <x:c r="K500" s="14" t="n">
        <x:v>1</x:v>
      </x:c>
      <x:c r="L500" s="14" t="n">
        <x:v>1</x:v>
      </x:c>
      <x:c r="M500" t="str">
        <x:v>LOW</x:v>
      </x:c>
      <x:c r="N500" t="str">
        <x:v>AKTIF</x:v>
      </x:c>
      <x:c r="O500" t="str"/>
      <x:c r="P500" t="str"/>
      <x:c r="Q500" t="str"/>
      <x:c r="R500" t="str"/>
      <x:c r="S500" t="str"/>
      <x:c r="T500" t="str"/>
      <x:c r="U500" s="18" t="n">
        <x:v>46134.041666666664</x:v>
      </x:c>
      <x:c r="V500" t="str">
        <x:v>INITIAL_IMPORT</x:v>
      </x:c>
    </x:row>
    <x:row r="501">
      <x:c r="A501" t="str">
        <x:v>PRD-JVS-0500</x:v>
      </x:c>
      <x:c r="B501" t="str">
        <x:v>JVS-0500</x:v>
      </x:c>
      <x:c r="C501" t="str">
        <x:v>Packing Topi deksel karet</x:v>
      </x:c>
      <x:c r="D501" t="str">
        <x:v>Servis</x:v>
      </x:c>
      <x:c r="E501" t="str"/>
      <x:c r="F501" t="str"/>
      <x:c r="G501" s="12" t="str"/>
      <x:c r="H501" s="12" t="str"/>
      <x:c r="I501" s="12" t="str"/>
      <x:c r="J501" s="16" t="str"/>
      <x:c r="K501" s="14" t="n">
        <x:v>0</x:v>
      </x:c>
      <x:c r="L501" s="14" t="n">
        <x:v>1</x:v>
      </x:c>
      <x:c r="M501" t="str">
        <x:v>OUT OF STOCK</x:v>
      </x:c>
      <x:c r="N501" t="str">
        <x:v>AKTIF</x:v>
      </x:c>
      <x:c r="O501" t="str"/>
      <x:c r="P501" t="str"/>
      <x:c r="Q501" t="str"/>
      <x:c r="R501" t="str"/>
      <x:c r="S501" t="str"/>
      <x:c r="T501" t="str"/>
      <x:c r="U501" s="18" t="n">
        <x:v>46134.041666666664</x:v>
      </x:c>
      <x:c r="V501" t="str">
        <x:v>INITIAL_IMPORT</x:v>
      </x:c>
    </x:row>
    <x:row r="502">
      <x:c r="A502" t="str">
        <x:v>PRD-JVS-0501</x:v>
      </x:c>
      <x:c r="B502" t="str">
        <x:v>JVS-0501</x:v>
      </x:c>
      <x:c r="C502" t="str">
        <x:v>Paha Rem Depan Vespa PX Lama</x:v>
      </x:c>
      <x:c r="D502" t="str">
        <x:v>Kaki-Kaki</x:v>
      </x:c>
      <x:c r="E502" t="str">
        <x:v>PX</x:v>
      </x:c>
      <x:c r="F502" t="str"/>
      <x:c r="G502" s="12" t="n">
        <x:v>25</x:v>
      </x:c>
      <x:c r="H502" s="12" t="n">
        <x:v>25</x:v>
      </x:c>
      <x:c r="I502" s="12" t="n">
        <x:v>0</x:v>
      </x:c>
      <x:c r="J502" s="16" t="n">
        <x:v>0</x:v>
      </x:c>
      <x:c r="K502" s="14" t="n">
        <x:v>12</x:v>
      </x:c>
      <x:c r="L502" s="14" t="n">
        <x:v>1</x:v>
      </x:c>
      <x:c r="M502" t="str">
        <x:v>READY</x:v>
      </x:c>
      <x:c r="N502" t="str">
        <x:v>AKTIF</x:v>
      </x:c>
      <x:c r="O502" t="str"/>
      <x:c r="P502" t="str"/>
      <x:c r="Q502" t="str"/>
      <x:c r="R502" t="str"/>
      <x:c r="S502" t="str"/>
      <x:c r="T502" t="str"/>
      <x:c r="U502" s="18" t="n">
        <x:v>46134.041666666664</x:v>
      </x:c>
      <x:c r="V502" t="str">
        <x:v>INITIAL_IMPORT</x:v>
      </x:c>
    </x:row>
    <x:row r="503">
      <x:c r="A503" t="str">
        <x:v>PRD-JVS-0502</x:v>
      </x:c>
      <x:c r="B503" t="str">
        <x:v>JVS-0502</x:v>
      </x:c>
      <x:c r="C503" t="str">
        <x:v>Paha Rem Depan Vespa Sprint Ring 10</x:v>
      </x:c>
      <x:c r="D503" t="str">
        <x:v>Kaki-Kaki</x:v>
      </x:c>
      <x:c r="E503" t="str">
        <x:v>SPRINT</x:v>
      </x:c>
      <x:c r="F503" t="str"/>
      <x:c r="G503" s="12" t="n">
        <x:v>28</x:v>
      </x:c>
      <x:c r="H503" s="12" t="n">
        <x:v>28</x:v>
      </x:c>
      <x:c r="I503" s="12" t="n">
        <x:v>0</x:v>
      </x:c>
      <x:c r="J503" s="16" t="n">
        <x:v>0</x:v>
      </x:c>
      <x:c r="K503" s="14" t="n">
        <x:v>3</x:v>
      </x:c>
      <x:c r="L503" s="14" t="n">
        <x:v>1</x:v>
      </x:c>
      <x:c r="M503" t="str">
        <x:v>READY</x:v>
      </x:c>
      <x:c r="N503" t="str">
        <x:v>AKTIF</x:v>
      </x:c>
      <x:c r="O503" t="str"/>
      <x:c r="P503" t="str"/>
      <x:c r="Q503" t="str"/>
      <x:c r="R503" t="str"/>
      <x:c r="S503" t="str"/>
      <x:c r="T503" t="str"/>
      <x:c r="U503" s="18" t="n">
        <x:v>46134.041666666664</x:v>
      </x:c>
      <x:c r="V503" t="str">
        <x:v>INITIAL_IMPORT</x:v>
      </x:c>
    </x:row>
    <x:row r="504">
      <x:c r="A504" t="str">
        <x:v>PRD-JVS-0503</x:v>
      </x:c>
      <x:c r="B504" t="str">
        <x:v>JVS-0503</x:v>
      </x:c>
      <x:c r="C504" t="str">
        <x:v>Paha Rem Depan Vespa Super Ring 8</x:v>
      </x:c>
      <x:c r="D504" t="str">
        <x:v>Kaki-Kaki</x:v>
      </x:c>
      <x:c r="E504" t="str">
        <x:v>SUPER</x:v>
      </x:c>
      <x:c r="F504" t="str"/>
      <x:c r="G504" s="12" t="n">
        <x:v>25</x:v>
      </x:c>
      <x:c r="H504" s="12" t="n">
        <x:v>25</x:v>
      </x:c>
      <x:c r="I504" s="12" t="n">
        <x:v>0</x:v>
      </x:c>
      <x:c r="J504" s="16" t="n">
        <x:v>0</x:v>
      </x:c>
      <x:c r="K504" s="14" t="n">
        <x:v>1</x:v>
      </x:c>
      <x:c r="L504" s="14" t="n">
        <x:v>1</x:v>
      </x:c>
      <x:c r="M504" t="str">
        <x:v>LOW</x:v>
      </x:c>
      <x:c r="N504" t="str">
        <x:v>AKTIF</x:v>
      </x:c>
      <x:c r="O504" t="str"/>
      <x:c r="P504" t="str"/>
      <x:c r="Q504" t="str"/>
      <x:c r="R504" t="str"/>
      <x:c r="S504" t="str"/>
      <x:c r="T504" t="str"/>
      <x:c r="U504" s="18" t="n">
        <x:v>46134.041666666664</x:v>
      </x:c>
      <x:c r="V504" t="str">
        <x:v>INITIAL_IMPORT</x:v>
      </x:c>
    </x:row>
    <x:row r="505">
      <x:c r="A505" t="str">
        <x:v>PRD-JVS-0504</x:v>
      </x:c>
      <x:c r="B505" t="str">
        <x:v>JVS-0504</x:v>
      </x:c>
      <x:c r="C505" t="str">
        <x:v>Paha Rem RX King</x:v>
      </x:c>
      <x:c r="D505" t="str">
        <x:v>Kaki-Kaki</x:v>
      </x:c>
      <x:c r="E505" t="str"/>
      <x:c r="F505" t="str"/>
      <x:c r="G505" s="12" t="str"/>
      <x:c r="H505" s="12" t="str"/>
      <x:c r="I505" s="12" t="str"/>
      <x:c r="J505" s="16" t="str"/>
      <x:c r="K505" s="14" t="n">
        <x:v>1</x:v>
      </x:c>
      <x:c r="L505" s="14" t="n">
        <x:v>1</x:v>
      </x:c>
      <x:c r="M505" t="str">
        <x:v>LOW</x:v>
      </x:c>
      <x:c r="N505" t="str">
        <x:v>AKTIF</x:v>
      </x:c>
      <x:c r="O505" t="str"/>
      <x:c r="P505" t="str"/>
      <x:c r="Q505" t="str"/>
      <x:c r="R505" t="str"/>
      <x:c r="S505" t="str"/>
      <x:c r="T505" t="str"/>
      <x:c r="U505" s="18" t="n">
        <x:v>46134.041666666664</x:v>
      </x:c>
      <x:c r="V505" t="str">
        <x:v>INITIAL_IMPORT</x:v>
      </x:c>
    </x:row>
    <x:row r="506">
      <x:c r="A506" t="str">
        <x:v>PRD-JVS-0505</x:v>
      </x:c>
      <x:c r="B506" t="str">
        <x:v>JVS-0505</x:v>
      </x:c>
      <x:c r="C506" t="str">
        <x:v>Paku Rivet Penahan Karet Tepong</x:v>
      </x:c>
      <x:c r="D506" t="str">
        <x:v>Body</x:v>
      </x:c>
      <x:c r="E506" t="str"/>
      <x:c r="F506" t="str"/>
      <x:c r="G506" s="12" t="n">
        <x:v>1.5</x:v>
      </x:c>
      <x:c r="H506" s="12" t="n">
        <x:v>1.5</x:v>
      </x:c>
      <x:c r="I506" s="12" t="n">
        <x:v>0</x:v>
      </x:c>
      <x:c r="J506" s="16" t="n">
        <x:v>0</x:v>
      </x:c>
      <x:c r="K506" s="14" t="n">
        <x:v>10</x:v>
      </x:c>
      <x:c r="L506" s="14" t="n">
        <x:v>1</x:v>
      </x:c>
      <x:c r="M506" t="str">
        <x:v>READY</x:v>
      </x:c>
      <x:c r="N506" t="str">
        <x:v>AKTIF</x:v>
      </x:c>
      <x:c r="O506" t="str"/>
      <x:c r="P506" t="str"/>
      <x:c r="Q506" t="str"/>
      <x:c r="R506" t="str"/>
      <x:c r="S506" t="str"/>
      <x:c r="T506" t="str"/>
      <x:c r="U506" s="18" t="n">
        <x:v>46134.041666666664</x:v>
      </x:c>
      <x:c r="V506" t="str">
        <x:v>INITIAL_IMPORT</x:v>
      </x:c>
    </x:row>
    <x:row r="507">
      <x:c r="A507" t="str">
        <x:v>PRD-JVS-0506</x:v>
      </x:c>
      <x:c r="B507" t="str">
        <x:v>JVS-0506</x:v>
      </x:c>
      <x:c r="C507" t="str">
        <x:v>Paku Rotor Vespa Ukuran Oversize</x:v>
      </x:c>
      <x:c r="D507" t="str">
        <x:v>Mesin</x:v>
      </x:c>
      <x:c r="E507" t="str"/>
      <x:c r="F507" t="str"/>
      <x:c r="G507" s="12" t="n">
        <x:v>3</x:v>
      </x:c>
      <x:c r="H507" s="12" t="n">
        <x:v>3</x:v>
      </x:c>
      <x:c r="I507" s="12" t="n">
        <x:v>0</x:v>
      </x:c>
      <x:c r="J507" s="16" t="n">
        <x:v>0</x:v>
      </x:c>
      <x:c r="K507" s="14" t="n">
        <x:v>12</x:v>
      </x:c>
      <x:c r="L507" s="14" t="n">
        <x:v>1</x:v>
      </x:c>
      <x:c r="M507" t="str">
        <x:v>READY</x:v>
      </x:c>
      <x:c r="N507" t="str">
        <x:v>AKTIF</x:v>
      </x:c>
      <x:c r="O507" t="str"/>
      <x:c r="P507" t="str"/>
      <x:c r="Q507" t="str"/>
      <x:c r="R507" t="str"/>
      <x:c r="S507" t="str"/>
      <x:c r="T507" t="str"/>
      <x:c r="U507" s="18" t="n">
        <x:v>46134.041666666664</x:v>
      </x:c>
      <x:c r="V507" t="str">
        <x:v>INITIAL_IMPORT</x:v>
      </x:c>
    </x:row>
    <x:row r="508">
      <x:c r="A508" t="str">
        <x:v>PRD-JVS-0507</x:v>
      </x:c>
      <x:c r="B508" t="str">
        <x:v>JVS-0507</x:v>
      </x:c>
      <x:c r="C508" t="str">
        <x:v>Paku Rotor Vespa Ukuran Standar 4mm</x:v>
      </x:c>
      <x:c r="D508" t="str">
        <x:v>Mesin</x:v>
      </x:c>
      <x:c r="E508" t="str"/>
      <x:c r="F508" t="str"/>
      <x:c r="G508" s="12" t="n">
        <x:v>2</x:v>
      </x:c>
      <x:c r="H508" s="12" t="n">
        <x:v>2</x:v>
      </x:c>
      <x:c r="I508" s="12" t="n">
        <x:v>0</x:v>
      </x:c>
      <x:c r="J508" s="16" t="n">
        <x:v>0</x:v>
      </x:c>
      <x:c r="K508" s="14" t="n">
        <x:v>55</x:v>
      </x:c>
      <x:c r="L508" s="14" t="n">
        <x:v>1</x:v>
      </x:c>
      <x:c r="M508" t="str">
        <x:v>READY</x:v>
      </x:c>
      <x:c r="N508" t="str">
        <x:v>AKTIF</x:v>
      </x:c>
      <x:c r="O508" t="str"/>
      <x:c r="P508" t="str"/>
      <x:c r="Q508" t="str"/>
      <x:c r="R508" t="str"/>
      <x:c r="S508" t="str"/>
      <x:c r="T508" t="str"/>
      <x:c r="U508" s="18" t="n">
        <x:v>46134.041666666664</x:v>
      </x:c>
      <x:c r="V508" t="str">
        <x:v>INITIAL_IMPORT</x:v>
      </x:c>
    </x:row>
    <x:row r="509">
      <x:c r="A509" t="str">
        <x:v>PRD-JVS-0508</x:v>
      </x:c>
      <x:c r="B509" t="str">
        <x:v>JVS-0508</x:v>
      </x:c>
      <x:c r="C509" t="str">
        <x:v>Paku Triplang lantai vespa</x:v>
      </x:c>
      <x:c r="D509" t="str">
        <x:v>Aksesoris</x:v>
      </x:c>
      <x:c r="E509" t="str"/>
      <x:c r="F509" t="str"/>
      <x:c r="G509" s="12" t="n">
        <x:v>8</x:v>
      </x:c>
      <x:c r="H509" s="12" t="n">
        <x:v>8</x:v>
      </x:c>
      <x:c r="I509" s="12" t="n">
        <x:v>0</x:v>
      </x:c>
      <x:c r="J509" s="16" t="n">
        <x:v>0</x:v>
      </x:c>
      <x:c r="K509" s="14" t="n">
        <x:v>7</x:v>
      </x:c>
      <x:c r="L509" s="14" t="n">
        <x:v>1</x:v>
      </x:c>
      <x:c r="M509" t="str">
        <x:v>READY</x:v>
      </x:c>
      <x:c r="N509" t="str">
        <x:v>AKTIF</x:v>
      </x:c>
      <x:c r="O509" t="str"/>
      <x:c r="P509" t="str"/>
      <x:c r="Q509" t="str"/>
      <x:c r="R509" t="str"/>
      <x:c r="S509" t="str"/>
      <x:c r="T509" t="str"/>
      <x:c r="U509" s="18" t="n">
        <x:v>46134.041666666664</x:v>
      </x:c>
      <x:c r="V509" t="str">
        <x:v>INITIAL_IMPORT</x:v>
      </x:c>
    </x:row>
    <x:row r="510">
      <x:c r="A510" t="str">
        <x:v>PRD-JVS-0509</x:v>
      </x:c>
      <x:c r="B510" t="str">
        <x:v>JVS-0509</x:v>
      </x:c>
      <x:c r="C510" t="str">
        <x:v>Pedal Rem Belakang Bagian Pijakan Set Vespa PX Excel PTS Import</x:v>
      </x:c>
      <x:c r="D510" t="str">
        <x:v>Kaki-Kaki</x:v>
      </x:c>
      <x:c r="E510" t="str">
        <x:v>EXCEL, PX, PTS</x:v>
      </x:c>
      <x:c r="F510" t="str"/>
      <x:c r="G510" s="12" t="n">
        <x:v>130</x:v>
      </x:c>
      <x:c r="H510" s="12" t="n">
        <x:v>130</x:v>
      </x:c>
      <x:c r="I510" s="12" t="n">
        <x:v>0</x:v>
      </x:c>
      <x:c r="J510" s="16" t="n">
        <x:v>0</x:v>
      </x:c>
      <x:c r="K510" s="14" t="n">
        <x:v>2</x:v>
      </x:c>
      <x:c r="L510" s="14" t="n">
        <x:v>1</x:v>
      </x:c>
      <x:c r="M510" t="str">
        <x:v>READY</x:v>
      </x:c>
      <x:c r="N510" t="str">
        <x:v>AKTIF</x:v>
      </x:c>
      <x:c r="O510" t="str"/>
      <x:c r="P510" t="str"/>
      <x:c r="Q510" t="str"/>
      <x:c r="R510" t="str"/>
      <x:c r="S510" t="str"/>
      <x:c r="T510" t="str"/>
      <x:c r="U510" s="18" t="n">
        <x:v>46134.041666666664</x:v>
      </x:c>
      <x:c r="V510" t="str">
        <x:v>INITIAL_IMPORT</x:v>
      </x:c>
    </x:row>
    <x:row r="511">
      <x:c r="A511" t="str">
        <x:v>PRD-JVS-0510</x:v>
      </x:c>
      <x:c r="B511" t="str">
        <x:v>JVS-0510</x:v>
      </x:c>
      <x:c r="C511" t="str">
        <x:v>Pedal Rem Belakang Bagian Pijakan Vespa Super Sprint Bajaj Import</x:v>
      </x:c>
      <x:c r="D511" t="str">
        <x:v>Kaki-Kaki</x:v>
      </x:c>
      <x:c r="E511" t="str">
        <x:v>SUPER, SPRINT, BAJAJ</x:v>
      </x:c>
      <x:c r="F511" t="str"/>
      <x:c r="G511" s="12" t="n">
        <x:v>40</x:v>
      </x:c>
      <x:c r="H511" s="12" t="n">
        <x:v>40</x:v>
      </x:c>
      <x:c r="I511" s="12" t="n">
        <x:v>0</x:v>
      </x:c>
      <x:c r="J511" s="16" t="n">
        <x:v>0</x:v>
      </x:c>
      <x:c r="K511" s="14" t="n">
        <x:v>3</x:v>
      </x:c>
      <x:c r="L511" s="14" t="n">
        <x:v>1</x:v>
      </x:c>
      <x:c r="M511" t="str">
        <x:v>READY</x:v>
      </x:c>
      <x:c r="N511" t="str">
        <x:v>AKTIF</x:v>
      </x:c>
      <x:c r="O511" t="str"/>
      <x:c r="P511" t="str"/>
      <x:c r="Q511" t="str"/>
      <x:c r="R511" t="str"/>
      <x:c r="S511" t="str"/>
      <x:c r="T511" t="str"/>
      <x:c r="U511" s="18" t="n">
        <x:v>46134.041666666664</x:v>
      </x:c>
      <x:c r="V511" t="str">
        <x:v>INITIAL_IMPORT</x:v>
      </x:c>
    </x:row>
    <x:row r="512">
      <x:c r="A512" t="str">
        <x:v>PRD-JVS-0511</x:v>
      </x:c>
      <x:c r="B512" t="str">
        <x:v>JVS-0511</x:v>
      </x:c>
      <x:c r="C512" t="str">
        <x:v>Peer Balik Rem Belakang</x:v>
      </x:c>
      <x:c r="D512" t="str">
        <x:v>Kaki-Kaki</x:v>
      </x:c>
      <x:c r="E512" t="str"/>
      <x:c r="F512" t="str"/>
      <x:c r="G512" s="12" t="n">
        <x:v>10</x:v>
      </x:c>
      <x:c r="H512" s="12" t="n">
        <x:v>10</x:v>
      </x:c>
      <x:c r="I512" s="12" t="n">
        <x:v>0</x:v>
      </x:c>
      <x:c r="J512" s="16" t="n">
        <x:v>0</x:v>
      </x:c>
      <x:c r="K512" s="14" t="n">
        <x:v>7</x:v>
      </x:c>
      <x:c r="L512" s="14" t="n">
        <x:v>1</x:v>
      </x:c>
      <x:c r="M512" t="str">
        <x:v>READY</x:v>
      </x:c>
      <x:c r="N512" t="str">
        <x:v>AKTIF</x:v>
      </x:c>
      <x:c r="O512" t="str"/>
      <x:c r="P512" t="str"/>
      <x:c r="Q512" t="str"/>
      <x:c r="R512" t="str"/>
      <x:c r="S512" t="str"/>
      <x:c r="T512" t="str"/>
      <x:c r="U512" s="18" t="n">
        <x:v>46134.041666666664</x:v>
      </x:c>
      <x:c r="V512" t="str">
        <x:v>INITIAL_IMPORT</x:v>
      </x:c>
    </x:row>
    <x:row r="513">
      <x:c r="A513" t="str">
        <x:v>PRD-JVS-0512</x:v>
      </x:c>
      <x:c r="B513" t="str">
        <x:v>JVS-0512</x:v>
      </x:c>
      <x:c r="C513" t="str">
        <x:v>Peer Balik Rem Depan PX Excel</x:v>
      </x:c>
      <x:c r="D513" t="str">
        <x:v>Kaki-Kaki</x:v>
      </x:c>
      <x:c r="E513" t="str">
        <x:v>EXCEL, PX</x:v>
      </x:c>
      <x:c r="F513" t="str"/>
      <x:c r="G513" s="12" t="n">
        <x:v>10</x:v>
      </x:c>
      <x:c r="H513" s="12" t="n">
        <x:v>10</x:v>
      </x:c>
      <x:c r="I513" s="12" t="n">
        <x:v>0</x:v>
      </x:c>
      <x:c r="J513" s="16" t="n">
        <x:v>0</x:v>
      </x:c>
      <x:c r="K513" s="14" t="n">
        <x:v>1</x:v>
      </x:c>
      <x:c r="L513" s="14" t="n">
        <x:v>1</x:v>
      </x:c>
      <x:c r="M513" t="str">
        <x:v>LOW</x:v>
      </x:c>
      <x:c r="N513" t="str">
        <x:v>AKTIF</x:v>
      </x:c>
      <x:c r="O513" t="str"/>
      <x:c r="P513" t="str"/>
      <x:c r="Q513" t="str"/>
      <x:c r="R513" t="str"/>
      <x:c r="S513" t="str"/>
      <x:c r="T513" t="str"/>
      <x:c r="U513" s="18" t="n">
        <x:v>46134.041666666664</x:v>
      </x:c>
      <x:c r="V513" t="str">
        <x:v>INITIAL_IMPORT</x:v>
      </x:c>
    </x:row>
    <x:row r="514">
      <x:c r="A514" t="str">
        <x:v>PRD-JVS-0513</x:v>
      </x:c>
      <x:c r="B514" t="str">
        <x:v>JVS-0513</x:v>
      </x:c>
      <x:c r="C514" t="str">
        <x:v>Peer Balik Rem Depan PX Lama</x:v>
      </x:c>
      <x:c r="D514" t="str">
        <x:v>Kaki-Kaki</x:v>
      </x:c>
      <x:c r="E514" t="str">
        <x:v>PX</x:v>
      </x:c>
      <x:c r="F514" t="str"/>
      <x:c r="G514" s="12" t="n">
        <x:v>7</x:v>
      </x:c>
      <x:c r="H514" s="12" t="n">
        <x:v>7</x:v>
      </x:c>
      <x:c r="I514" s="12" t="n">
        <x:v>0</x:v>
      </x:c>
      <x:c r="J514" s="16" t="n">
        <x:v>0</x:v>
      </x:c>
      <x:c r="K514" s="14" t="n">
        <x:v>6</x:v>
      </x:c>
      <x:c r="L514" s="14" t="n">
        <x:v>1</x:v>
      </x:c>
      <x:c r="M514" t="str">
        <x:v>READY</x:v>
      </x:c>
      <x:c r="N514" t="str">
        <x:v>AKTIF</x:v>
      </x:c>
      <x:c r="O514" t="str"/>
      <x:c r="P514" t="str"/>
      <x:c r="Q514" t="str"/>
      <x:c r="R514" t="str"/>
      <x:c r="S514" t="str"/>
      <x:c r="T514" t="str"/>
      <x:c r="U514" s="18" t="n">
        <x:v>46134.041666666664</x:v>
      </x:c>
      <x:c r="V514" t="str">
        <x:v>INITIAL_IMPORT</x:v>
      </x:c>
    </x:row>
    <x:row r="515">
      <x:c r="A515" t="str">
        <x:v>PRD-JVS-0514</x:v>
      </x:c>
      <x:c r="B515" t="str">
        <x:v>JVS-0514</x:v>
      </x:c>
      <x:c r="C515" t="str">
        <x:v>Peer Balik Rem Depan super sprint PS</x:v>
      </x:c>
      <x:c r="D515" t="str">
        <x:v>Kaki-Kaki</x:v>
      </x:c>
      <x:c r="E515" t="str">
        <x:v>SUPER, SPRINT, PS</x:v>
      </x:c>
      <x:c r="F515" t="str"/>
      <x:c r="G515" s="12" t="n">
        <x:v>10</x:v>
      </x:c>
      <x:c r="H515" s="12" t="n">
        <x:v>10</x:v>
      </x:c>
      <x:c r="I515" s="12" t="n">
        <x:v>0</x:v>
      </x:c>
      <x:c r="J515" s="16" t="n">
        <x:v>0</x:v>
      </x:c>
      <x:c r="K515" s="14" t="n">
        <x:v>4</x:v>
      </x:c>
      <x:c r="L515" s="14" t="n">
        <x:v>1</x:v>
      </x:c>
      <x:c r="M515" t="str">
        <x:v>READY</x:v>
      </x:c>
      <x:c r="N515" t="str">
        <x:v>AKTIF</x:v>
      </x:c>
      <x:c r="O515" t="str"/>
      <x:c r="P515" t="str"/>
      <x:c r="Q515" t="str"/>
      <x:c r="R515" t="str"/>
      <x:c r="S515" t="str"/>
      <x:c r="T515" t="str"/>
      <x:c r="U515" s="18" t="n">
        <x:v>46134.041666666664</x:v>
      </x:c>
      <x:c r="V515" t="str">
        <x:v>INITIAL_IMPORT</x:v>
      </x:c>
    </x:row>
    <x:row r="516">
      <x:c r="A516" t="str">
        <x:v>PRD-JVS-0515</x:v>
      </x:c>
      <x:c r="B516" t="str">
        <x:v>JVS-0515</x:v>
      </x:c>
      <x:c r="C516" t="str">
        <x:v>Peer Bolu Mesin Selah Vespa As besar</x:v>
      </x:c>
      <x:c r="D516" t="str">
        <x:v>Mesin</x:v>
      </x:c>
      <x:c r="E516" t="str"/>
      <x:c r="F516" t="str"/>
      <x:c r="G516" s="12" t="n">
        <x:v>10</x:v>
      </x:c>
      <x:c r="H516" s="12" t="n">
        <x:v>10</x:v>
      </x:c>
      <x:c r="I516" s="12" t="n">
        <x:v>0</x:v>
      </x:c>
      <x:c r="J516" s="16" t="n">
        <x:v>0</x:v>
      </x:c>
      <x:c r="K516" s="14" t="n">
        <x:v>2</x:v>
      </x:c>
      <x:c r="L516" s="14" t="n">
        <x:v>1</x:v>
      </x:c>
      <x:c r="M516" t="str">
        <x:v>READY</x:v>
      </x:c>
      <x:c r="N516" t="str">
        <x:v>AKTIF</x:v>
      </x:c>
      <x:c r="O516" t="str"/>
      <x:c r="P516" t="str"/>
      <x:c r="Q516" t="str"/>
      <x:c r="R516" t="str"/>
      <x:c r="S516" t="str"/>
      <x:c r="T516" t="str"/>
      <x:c r="U516" s="18" t="n">
        <x:v>46134.041666666664</x:v>
      </x:c>
      <x:c r="V516" t="str">
        <x:v>INITIAL_IMPORT</x:v>
      </x:c>
    </x:row>
    <x:row r="517">
      <x:c r="A517" t="str">
        <x:v>PRD-JVS-0516</x:v>
      </x:c>
      <x:c r="B517" t="str">
        <x:v>JVS-0516</x:v>
      </x:c>
      <x:c r="C517" t="str">
        <x:v>Peer Jok Gepeng</x:v>
      </x:c>
      <x:c r="D517" t="str">
        <x:v>Body</x:v>
      </x:c>
      <x:c r="E517" t="str"/>
      <x:c r="F517" t="str"/>
      <x:c r="G517" s="12" t="str"/>
      <x:c r="H517" s="12" t="str"/>
      <x:c r="I517" s="12" t="str"/>
      <x:c r="J517" s="16" t="str"/>
      <x:c r="K517" s="14" t="n">
        <x:v>5</x:v>
      </x:c>
      <x:c r="L517" s="14" t="n">
        <x:v>1</x:v>
      </x:c>
      <x:c r="M517" t="str">
        <x:v>READY</x:v>
      </x:c>
      <x:c r="N517" t="str">
        <x:v>AKTIF</x:v>
      </x:c>
      <x:c r="O517" t="str"/>
      <x:c r="P517" t="str"/>
      <x:c r="Q517" t="str"/>
      <x:c r="R517" t="str"/>
      <x:c r="S517" t="str"/>
      <x:c r="T517" t="str"/>
      <x:c r="U517" s="18" t="n">
        <x:v>46134.041666666664</x:v>
      </x:c>
      <x:c r="V517" t="str">
        <x:v>INITIAL_IMPORT</x:v>
      </x:c>
    </x:row>
    <x:row r="518">
      <x:c r="A518" t="str">
        <x:v>PRD-JVS-0517</x:v>
      </x:c>
      <x:c r="B518" t="str">
        <x:v>JVS-0517</x:v>
      </x:c>
      <x:c r="C518" t="str">
        <x:v>Peer Jok Jok Pisah</x:v>
      </x:c>
      <x:c r="D518" t="str">
        <x:v>Body</x:v>
      </x:c>
      <x:c r="E518" t="str"/>
      <x:c r="F518" t="str"/>
      <x:c r="G518" s="12" t="str"/>
      <x:c r="H518" s="12" t="str"/>
      <x:c r="I518" s="12" t="str"/>
      <x:c r="J518" s="16" t="str"/>
      <x:c r="K518" s="14" t="n">
        <x:v>1</x:v>
      </x:c>
      <x:c r="L518" s="14" t="n">
        <x:v>1</x:v>
      </x:c>
      <x:c r="M518" t="str">
        <x:v>LOW</x:v>
      </x:c>
      <x:c r="N518" t="str">
        <x:v>AKTIF</x:v>
      </x:c>
      <x:c r="O518" t="str"/>
      <x:c r="P518" t="str"/>
      <x:c r="Q518" t="str"/>
      <x:c r="R518" t="str"/>
      <x:c r="S518" t="str"/>
      <x:c r="T518" t="str"/>
      <x:c r="U518" s="18" t="n">
        <x:v>46134.041666666664</x:v>
      </x:c>
      <x:c r="V518" t="str">
        <x:v>INITIAL_IMPORT</x:v>
      </x:c>
    </x:row>
    <x:row r="519">
      <x:c r="A519" t="str">
        <x:v>PRD-JVS-0518</x:v>
      </x:c>
      <x:c r="B519" t="str">
        <x:v>JVS-0518</x:v>
      </x:c>
      <x:c r="C519" t="str">
        <x:v>Peer Standart Tengah Vespa Excel</x:v>
      </x:c>
      <x:c r="D519" t="str">
        <x:v>Kaki-Kaki</x:v>
      </x:c>
      <x:c r="E519" t="str">
        <x:v>EXCEL</x:v>
      </x:c>
      <x:c r="F519" t="str"/>
      <x:c r="G519" s="12" t="n">
        <x:v>8</x:v>
      </x:c>
      <x:c r="H519" s="12" t="n">
        <x:v>8</x:v>
      </x:c>
      <x:c r="I519" s="12" t="n">
        <x:v>0</x:v>
      </x:c>
      <x:c r="J519" s="16" t="n">
        <x:v>0</x:v>
      </x:c>
      <x:c r="K519" s="14" t="n">
        <x:v>8</x:v>
      </x:c>
      <x:c r="L519" s="14" t="n">
        <x:v>1</x:v>
      </x:c>
      <x:c r="M519" t="str">
        <x:v>READY</x:v>
      </x:c>
      <x:c r="N519" t="str">
        <x:v>AKTIF</x:v>
      </x:c>
      <x:c r="O519" t="str"/>
      <x:c r="P519" t="str"/>
      <x:c r="Q519" t="str"/>
      <x:c r="R519" t="str"/>
      <x:c r="S519" t="str"/>
      <x:c r="T519" t="str"/>
      <x:c r="U519" s="18" t="n">
        <x:v>46134.041666666664</x:v>
      </x:c>
      <x:c r="V519" t="str">
        <x:v>INITIAL_IMPORT</x:v>
      </x:c>
    </x:row>
    <x:row r="520">
      <x:c r="A520" t="str">
        <x:v>PRD-JVS-0519</x:v>
      </x:c>
      <x:c r="B520" t="str">
        <x:v>JVS-0519</x:v>
      </x:c>
      <x:c r="C520" t="str">
        <x:v>Peer Standart Tengah Vespa Super</x:v>
      </x:c>
      <x:c r="D520" t="str">
        <x:v>Kaki-Kaki</x:v>
      </x:c>
      <x:c r="E520" t="str">
        <x:v>SUPER</x:v>
      </x:c>
      <x:c r="F520" t="str"/>
      <x:c r="G520" s="12" t="n">
        <x:v>8.5</x:v>
      </x:c>
      <x:c r="H520" s="12" t="n">
        <x:v>8.5</x:v>
      </x:c>
      <x:c r="I520" s="12" t="n">
        <x:v>0</x:v>
      </x:c>
      <x:c r="J520" s="16" t="n">
        <x:v>0</x:v>
      </x:c>
      <x:c r="K520" s="14" t="n">
        <x:v>5</x:v>
      </x:c>
      <x:c r="L520" s="14" t="n">
        <x:v>1</x:v>
      </x:c>
      <x:c r="M520" t="str">
        <x:v>READY</x:v>
      </x:c>
      <x:c r="N520" t="str">
        <x:v>AKTIF</x:v>
      </x:c>
      <x:c r="O520" t="str"/>
      <x:c r="P520" t="str"/>
      <x:c r="Q520" t="str"/>
      <x:c r="R520" t="str"/>
      <x:c r="S520" t="str"/>
      <x:c r="T520" t="str"/>
      <x:c r="U520" s="18" t="n">
        <x:v>46134.041666666664</x:v>
      </x:c>
      <x:c r="V520" t="str">
        <x:v>INITIAL_IMPORT</x:v>
      </x:c>
    </x:row>
    <x:row r="521">
      <x:c r="A521" t="str">
        <x:v>PRD-JVS-0520</x:v>
      </x:c>
      <x:c r="B521" t="str">
        <x:v>JVS-0520</x:v>
      </x:c>
      <x:c r="C521" t="str">
        <x:v>Peer Tuas Bagasi VBB Mamanukan</x:v>
      </x:c>
      <x:c r="D521" t="str">
        <x:v>Servis</x:v>
      </x:c>
      <x:c r="E521" t="str">
        <x:v>VBB</x:v>
      </x:c>
      <x:c r="F521" t="str"/>
      <x:c r="G521" s="12" t="str"/>
      <x:c r="H521" s="12" t="str"/>
      <x:c r="I521" s="12" t="str"/>
      <x:c r="J521" s="16" t="str"/>
      <x:c r="K521" s="14" t="n">
        <x:v>3</x:v>
      </x:c>
      <x:c r="L521" s="14" t="n">
        <x:v>1</x:v>
      </x:c>
      <x:c r="M521" t="str">
        <x:v>READY</x:v>
      </x:c>
      <x:c r="N521" t="str">
        <x:v>AKTIF</x:v>
      </x:c>
      <x:c r="O521" t="str"/>
      <x:c r="P521" t="str"/>
      <x:c r="Q521" t="str"/>
      <x:c r="R521" t="str"/>
      <x:c r="S521" t="str"/>
      <x:c r="T521" t="str"/>
      <x:c r="U521" s="18" t="n">
        <x:v>46134.041666666664</x:v>
      </x:c>
      <x:c r="V521" t="str">
        <x:v>INITIAL_IMPORT</x:v>
      </x:c>
    </x:row>
    <x:row r="522">
      <x:c r="A522" t="str">
        <x:v>PRD-JVS-0521</x:v>
      </x:c>
      <x:c r="B522" t="str">
        <x:v>JVS-0521</x:v>
      </x:c>
      <x:c r="C522" t="str">
        <x:v>Pen Piston Seher Vespa Standart</x:v>
      </x:c>
      <x:c r="D522" t="str">
        <x:v>Mesin</x:v>
      </x:c>
      <x:c r="E522" t="str"/>
      <x:c r="F522" t="str"/>
      <x:c r="G522" s="12" t="str"/>
      <x:c r="H522" s="12" t="str"/>
      <x:c r="I522" s="12" t="str"/>
      <x:c r="J522" s="16" t="str"/>
      <x:c r="K522" s="14" t="n">
        <x:v>2</x:v>
      </x:c>
      <x:c r="L522" s="14" t="n">
        <x:v>1</x:v>
      </x:c>
      <x:c r="M522" t="str">
        <x:v>READY</x:v>
      </x:c>
      <x:c r="N522" t="str">
        <x:v>AKTIF</x:v>
      </x:c>
      <x:c r="O522" t="str"/>
      <x:c r="P522" t="str"/>
      <x:c r="Q522" t="str"/>
      <x:c r="R522" t="str"/>
      <x:c r="S522" t="str"/>
      <x:c r="T522" t="str"/>
      <x:c r="U522" s="18" t="n">
        <x:v>46134.041666666664</x:v>
      </x:c>
      <x:c r="V522" t="str">
        <x:v>INITIAL_IMPORT</x:v>
      </x:c>
    </x:row>
    <x:row r="523">
      <x:c r="A523" t="str">
        <x:v>PRD-JVS-0522</x:v>
      </x:c>
      <x:c r="B523" t="str">
        <x:v>JVS-0522</x:v>
      </x:c>
      <x:c r="C523" t="str">
        <x:v>Pendingin spul Vespa PX Bonit</x:v>
      </x:c>
      <x:c r="D523" t="str">
        <x:v>Kelistrikan</x:v>
      </x:c>
      <x:c r="E523" t="str">
        <x:v>PX</x:v>
      </x:c>
      <x:c r="F523" t="str"/>
      <x:c r="G523" s="12" t="n">
        <x:v>8.5</x:v>
      </x:c>
      <x:c r="H523" s="12" t="n">
        <x:v>8.5</x:v>
      </x:c>
      <x:c r="I523" s="12" t="n">
        <x:v>0</x:v>
      </x:c>
      <x:c r="J523" s="16" t="n">
        <x:v>0</x:v>
      </x:c>
      <x:c r="K523" s="14" t="n">
        <x:v>61</x:v>
      </x:c>
      <x:c r="L523" s="14" t="n">
        <x:v>1</x:v>
      </x:c>
      <x:c r="M523" t="str">
        <x:v>READY</x:v>
      </x:c>
      <x:c r="N523" t="str">
        <x:v>AKTIF</x:v>
      </x:c>
      <x:c r="O523" t="str"/>
      <x:c r="P523" t="str"/>
      <x:c r="Q523" t="str"/>
      <x:c r="R523" t="str"/>
      <x:c r="S523" t="str"/>
      <x:c r="T523" t="str"/>
      <x:c r="U523" s="18" t="n">
        <x:v>46134.041666666664</x:v>
      </x:c>
      <x:c r="V523" t="str">
        <x:v>INITIAL_IMPORT</x:v>
      </x:c>
    </x:row>
    <x:row r="524">
      <x:c r="A524" t="str">
        <x:v>PRD-JVS-0523</x:v>
      </x:c>
      <x:c r="B524" t="str">
        <x:v>JVS-0523</x:v>
      </x:c>
      <x:c r="C524" t="str">
        <x:v>Pendingin Spul Vespa Px Tembaga</x:v>
      </x:c>
      <x:c r="D524" t="str">
        <x:v>Kelistrikan</x:v>
      </x:c>
      <x:c r="E524" t="str">
        <x:v>PX</x:v>
      </x:c>
      <x:c r="F524" t="str"/>
      <x:c r="G524" s="12" t="n">
        <x:v>75</x:v>
      </x:c>
      <x:c r="H524" s="12" t="n">
        <x:v>75</x:v>
      </x:c>
      <x:c r="I524" s="12" t="n">
        <x:v>0</x:v>
      </x:c>
      <x:c r="J524" s="16" t="n">
        <x:v>0</x:v>
      </x:c>
      <x:c r="K524" s="14" t="n">
        <x:v>1</x:v>
      </x:c>
      <x:c r="L524" s="14" t="n">
        <x:v>1</x:v>
      </x:c>
      <x:c r="M524" t="str">
        <x:v>LOW</x:v>
      </x:c>
      <x:c r="N524" t="str">
        <x:v>AKTIF</x:v>
      </x:c>
      <x:c r="O524" t="str"/>
      <x:c r="P524" t="str"/>
      <x:c r="Q524" t="str"/>
      <x:c r="R524" t="str"/>
      <x:c r="S524" t="str"/>
      <x:c r="T524" t="str"/>
      <x:c r="U524" s="18" t="n">
        <x:v>46134.041666666664</x:v>
      </x:c>
      <x:c r="V524" t="str">
        <x:v>INITIAL_IMPORT</x:v>
      </x:c>
    </x:row>
    <x:row r="525">
      <x:c r="A525" t="str">
        <x:v>PRD-JVS-0524</x:v>
      </x:c>
      <x:c r="B525" t="str">
        <x:v>JVS-0524</x:v>
      </x:c>
      <x:c r="C525" t="str">
        <x:v>Per As Selahan Vespa As Kick Starter Per Gigi Kampak</x:v>
      </x:c>
      <x:c r="D525" t="str">
        <x:v>Mesin</x:v>
      </x:c>
      <x:c r="E525" t="str"/>
      <x:c r="F525" t="str"/>
      <x:c r="G525" s="12" t="n">
        <x:v>18</x:v>
      </x:c>
      <x:c r="H525" s="12" t="n">
        <x:v>18</x:v>
      </x:c>
      <x:c r="I525" s="12" t="n">
        <x:v>0</x:v>
      </x:c>
      <x:c r="J525" s="16" t="n">
        <x:v>0</x:v>
      </x:c>
      <x:c r="K525" s="14" t="n">
        <x:v>9</x:v>
      </x:c>
      <x:c r="L525" s="14" t="n">
        <x:v>1</x:v>
      </x:c>
      <x:c r="M525" t="str">
        <x:v>READY</x:v>
      </x:c>
      <x:c r="N525" t="str">
        <x:v>AKTIF</x:v>
      </x:c>
      <x:c r="O525" t="str"/>
      <x:c r="P525" t="str"/>
      <x:c r="Q525" t="str"/>
      <x:c r="R525" t="str"/>
      <x:c r="S525" t="str"/>
      <x:c r="T525" t="str"/>
      <x:c r="U525" s="18" t="n">
        <x:v>46134.041666666664</x:v>
      </x:c>
      <x:c r="V525" t="str">
        <x:v>INITIAL_IMPORT</x:v>
      </x:c>
    </x:row>
    <x:row r="526">
      <x:c r="A526" t="str">
        <x:v>PRD-JVS-0525</x:v>
      </x:c>
      <x:c r="B526" t="str">
        <x:v>JVS-0525</x:v>
      </x:c>
      <x:c r="C526" t="str">
        <x:v>Per Kampas Rem Vespa satuan</x:v>
      </x:c>
      <x:c r="D526" t="str">
        <x:v>Kaki-Kaki</x:v>
      </x:c>
      <x:c r="E526" t="str"/>
      <x:c r="F526" t="str"/>
      <x:c r="G526" s="12" t="n">
        <x:v>5</x:v>
      </x:c>
      <x:c r="H526" s="12" t="n">
        <x:v>5</x:v>
      </x:c>
      <x:c r="I526" s="12" t="n">
        <x:v>0</x:v>
      </x:c>
      <x:c r="J526" s="16" t="n">
        <x:v>0</x:v>
      </x:c>
      <x:c r="K526" s="14" t="n">
        <x:v>3</x:v>
      </x:c>
      <x:c r="L526" s="14" t="n">
        <x:v>1</x:v>
      </x:c>
      <x:c r="M526" t="str">
        <x:v>READY</x:v>
      </x:c>
      <x:c r="N526" t="str">
        <x:v>AKTIF</x:v>
      </x:c>
      <x:c r="O526" t="str"/>
      <x:c r="P526" t="str"/>
      <x:c r="Q526" t="str"/>
      <x:c r="R526" t="str"/>
      <x:c r="S526" t="str"/>
      <x:c r="T526" t="str"/>
      <x:c r="U526" s="18" t="n">
        <x:v>46134.041666666664</x:v>
      </x:c>
      <x:c r="V526" t="str">
        <x:v>INITIAL_IMPORT</x:v>
      </x:c>
    </x:row>
    <x:row r="527">
      <x:c r="A527" t="str">
        <x:v>PRD-JVS-0526</x:v>
      </x:c>
      <x:c r="B527" t="str">
        <x:v>JVS-0526</x:v>
      </x:c>
      <x:c r="C527" t="str">
        <x:v>Per Keong Jog Pisah Depan Vespa</x:v>
      </x:c>
      <x:c r="D527" t="str">
        <x:v>Servis</x:v>
      </x:c>
      <x:c r="E527" t="str"/>
      <x:c r="F527" t="str"/>
      <x:c r="G527" s="12" t="n">
        <x:v>35</x:v>
      </x:c>
      <x:c r="H527" s="12" t="n">
        <x:v>35</x:v>
      </x:c>
      <x:c r="I527" s="12" t="n">
        <x:v>0</x:v>
      </x:c>
      <x:c r="J527" s="16" t="n">
        <x:v>0</x:v>
      </x:c>
      <x:c r="K527" s="14" t="n">
        <x:v>1</x:v>
      </x:c>
      <x:c r="L527" s="14" t="n">
        <x:v>1</x:v>
      </x:c>
      <x:c r="M527" t="str">
        <x:v>LOW</x:v>
      </x:c>
      <x:c r="N527" t="str">
        <x:v>AKTIF</x:v>
      </x:c>
      <x:c r="O527" t="str"/>
      <x:c r="P527" t="str"/>
      <x:c r="Q527" t="str"/>
      <x:c r="R527" t="str"/>
      <x:c r="S527" t="str"/>
      <x:c r="T527" t="str"/>
      <x:c r="U527" s="18" t="n">
        <x:v>46134.041666666664</x:v>
      </x:c>
      <x:c r="V527" t="str">
        <x:v>INITIAL_IMPORT</x:v>
      </x:c>
    </x:row>
    <x:row r="528">
      <x:c r="A528" t="str">
        <x:v>PRD-JVS-0527</x:v>
      </x:c>
      <x:c r="B528" t="str">
        <x:v>JVS-0527</x:v>
      </x:c>
      <x:c r="C528" t="str">
        <x:v>Per Kopling 1 set isi 6</x:v>
      </x:c>
      <x:c r="D528" t="str">
        <x:v>Mesin</x:v>
      </x:c>
      <x:c r="E528" t="str"/>
      <x:c r="F528" t="str"/>
      <x:c r="G528" s="12" t="n">
        <x:v>15</x:v>
      </x:c>
      <x:c r="H528" s="12" t="n">
        <x:v>15</x:v>
      </x:c>
      <x:c r="I528" s="12" t="n">
        <x:v>0</x:v>
      </x:c>
      <x:c r="J528" s="16" t="n">
        <x:v>0</x:v>
      </x:c>
      <x:c r="K528" s="14" t="n">
        <x:v>13</x:v>
      </x:c>
      <x:c r="L528" s="14" t="n">
        <x:v>1</x:v>
      </x:c>
      <x:c r="M528" t="str">
        <x:v>READY</x:v>
      </x:c>
      <x:c r="N528" t="str">
        <x:v>AKTIF</x:v>
      </x:c>
      <x:c r="O528" t="str"/>
      <x:c r="P528" t="str"/>
      <x:c r="Q528" t="str"/>
      <x:c r="R528" t="str"/>
      <x:c r="S528" t="str"/>
      <x:c r="T528" t="str"/>
      <x:c r="U528" s="18" t="n">
        <x:v>46134.041666666664</x:v>
      </x:c>
      <x:c r="V528" t="str">
        <x:v>INITIAL_IMPORT</x:v>
      </x:c>
    </x:row>
    <x:row r="529">
      <x:c r="A529" t="str">
        <x:v>PRD-JVS-0528</x:v>
      </x:c>
      <x:c r="B529" t="str">
        <x:v>JVS-0528</x:v>
      </x:c>
      <x:c r="C529" t="str">
        <x:v>Per Kopling Bijian 1pcs</x:v>
      </x:c>
      <x:c r="D529" t="str">
        <x:v>Mesin</x:v>
      </x:c>
      <x:c r="E529" t="str"/>
      <x:c r="F529" t="str"/>
      <x:c r="G529" s="12" t="n">
        <x:v>3</x:v>
      </x:c>
      <x:c r="H529" s="12" t="n">
        <x:v>3</x:v>
      </x:c>
      <x:c r="I529" s="12" t="n">
        <x:v>0</x:v>
      </x:c>
      <x:c r="J529" s="16" t="n">
        <x:v>0</x:v>
      </x:c>
      <x:c r="K529" s="14" t="n">
        <x:v>12</x:v>
      </x:c>
      <x:c r="L529" s="14" t="n">
        <x:v>1</x:v>
      </x:c>
      <x:c r="M529" t="str">
        <x:v>READY</x:v>
      </x:c>
      <x:c r="N529" t="str">
        <x:v>AKTIF</x:v>
      </x:c>
      <x:c r="O529" t="str"/>
      <x:c r="P529" t="str"/>
      <x:c r="Q529" t="str"/>
      <x:c r="R529" t="str"/>
      <x:c r="S529" t="str"/>
      <x:c r="T529" t="str"/>
      <x:c r="U529" s="18" t="n">
        <x:v>46134.041666666664</x:v>
      </x:c>
      <x:c r="V529" t="str">
        <x:v>INITIAL_IMPORT</x:v>
      </x:c>
    </x:row>
    <x:row r="530">
      <x:c r="A530" t="str">
        <x:v>PRD-JVS-0529</x:v>
      </x:c>
      <x:c r="B530" t="str">
        <x:v>JVS-0529</x:v>
      </x:c>
      <x:c r="C530" t="str">
        <x:v>Per Shock Depan Vespa Super, Sprint, PS</x:v>
      </x:c>
      <x:c r="D530" t="str">
        <x:v>Kaki-Kaki</x:v>
      </x:c>
      <x:c r="E530" t="str">
        <x:v>SUPER, SPRINT, PS</x:v>
      </x:c>
      <x:c r="F530" t="str"/>
      <x:c r="G530" s="12" t="n">
        <x:v>75</x:v>
      </x:c>
      <x:c r="H530" s="12" t="n">
        <x:v>75</x:v>
      </x:c>
      <x:c r="I530" s="12" t="n">
        <x:v>0</x:v>
      </x:c>
      <x:c r="J530" s="16" t="n">
        <x:v>0</x:v>
      </x:c>
      <x:c r="K530" s="14" t="n">
        <x:v>2</x:v>
      </x:c>
      <x:c r="L530" s="14" t="n">
        <x:v>1</x:v>
      </x:c>
      <x:c r="M530" t="str">
        <x:v>READY</x:v>
      </x:c>
      <x:c r="N530" t="str">
        <x:v>AKTIF</x:v>
      </x:c>
      <x:c r="O530" t="str"/>
      <x:c r="P530" t="str"/>
      <x:c r="Q530" t="str"/>
      <x:c r="R530" t="str"/>
      <x:c r="S530" t="str"/>
      <x:c r="T530" t="str"/>
      <x:c r="U530" s="18" t="n">
        <x:v>46134.041666666664</x:v>
      </x:c>
      <x:c r="V530" t="str">
        <x:v>INITIAL_IMPORT</x:v>
      </x:c>
    </x:row>
    <x:row r="531">
      <x:c r="A531" t="str">
        <x:v>PRD-JVS-0530</x:v>
      </x:c>
      <x:c r="B531" t="str">
        <x:v>JVS-0530</x:v>
      </x:c>
      <x:c r="C531" t="str">
        <x:v>Per Tepong Kuncian Penahan Kaitan Vespa PX PS Excel Exclusive</x:v>
      </x:c>
      <x:c r="D531" t="str">
        <x:v>Body</x:v>
      </x:c>
      <x:c r="E531" t="str">
        <x:v>EXCEL, EXCLUSIVE, PX, PS</x:v>
      </x:c>
      <x:c r="F531" t="str"/>
      <x:c r="G531" s="12" t="n">
        <x:v>20</x:v>
      </x:c>
      <x:c r="H531" s="12" t="n">
        <x:v>20</x:v>
      </x:c>
      <x:c r="I531" s="12" t="n">
        <x:v>0</x:v>
      </x:c>
      <x:c r="J531" s="16" t="n">
        <x:v>0</x:v>
      </x:c>
      <x:c r="K531" s="14" t="n">
        <x:v>3</x:v>
      </x:c>
      <x:c r="L531" s="14" t="n">
        <x:v>1</x:v>
      </x:c>
      <x:c r="M531" t="str">
        <x:v>READY</x:v>
      </x:c>
      <x:c r="N531" t="str">
        <x:v>AKTIF</x:v>
      </x:c>
      <x:c r="O531" t="str"/>
      <x:c r="P531" t="str"/>
      <x:c r="Q531" t="str"/>
      <x:c r="R531" t="str"/>
      <x:c r="S531" t="str"/>
      <x:c r="T531" t="str"/>
      <x:c r="U531" s="18" t="n">
        <x:v>46134.041666666664</x:v>
      </x:c>
      <x:c r="V531" t="str">
        <x:v>INITIAL_IMPORT</x:v>
      </x:c>
    </x:row>
    <x:row r="532">
      <x:c r="A532" t="str">
        <x:v>PRD-JVS-0531</x:v>
      </x:c>
      <x:c r="B532" t="str">
        <x:v>JVS-0531</x:v>
      </x:c>
      <x:c r="C532" t="str">
        <x:v>Per Tuas Kopling Stut Kopling Per Luar</x:v>
      </x:c>
      <x:c r="D532" t="str">
        <x:v>Mesin</x:v>
      </x:c>
      <x:c r="E532" t="str"/>
      <x:c r="F532" t="str"/>
      <x:c r="G532" s="12" t="str"/>
      <x:c r="H532" s="12" t="str"/>
      <x:c r="I532" s="12" t="str"/>
      <x:c r="J532" s="16" t="str"/>
      <x:c r="K532" s="14" t="n">
        <x:v>9</x:v>
      </x:c>
      <x:c r="L532" s="14" t="n">
        <x:v>1</x:v>
      </x:c>
      <x:c r="M532" t="str">
        <x:v>READY</x:v>
      </x:c>
      <x:c r="N532" t="str">
        <x:v>AKTIF</x:v>
      </x:c>
      <x:c r="O532" t="str"/>
      <x:c r="P532" t="str"/>
      <x:c r="Q532" t="str"/>
      <x:c r="R532" t="str"/>
      <x:c r="S532" t="str"/>
      <x:c r="T532" t="str"/>
      <x:c r="U532" s="18" t="n">
        <x:v>46134.041666666664</x:v>
      </x:c>
      <x:c r="V532" t="str">
        <x:v>INITIAL_IMPORT</x:v>
      </x:c>
    </x:row>
    <x:row r="533">
      <x:c r="A533" t="str">
        <x:v>PRD-JVS-0532</x:v>
      </x:c>
      <x:c r="B533" t="str">
        <x:v>JVS-0532</x:v>
      </x:c>
      <x:c r="C533" t="str">
        <x:v>pipa Selongsong Sambung Corong Pipa Knalpot</x:v>
      </x:c>
      <x:c r="D533" t="str">
        <x:v>Aksesoris</x:v>
      </x:c>
      <x:c r="E533" t="str"/>
      <x:c r="F533" t="str"/>
      <x:c r="G533" s="12" t="n">
        <x:v>25</x:v>
      </x:c>
      <x:c r="H533" s="12" t="n">
        <x:v>25</x:v>
      </x:c>
      <x:c r="I533" s="12" t="n">
        <x:v>0</x:v>
      </x:c>
      <x:c r="J533" s="16" t="n">
        <x:v>0</x:v>
      </x:c>
      <x:c r="K533" s="14" t="n">
        <x:v>2</x:v>
      </x:c>
      <x:c r="L533" s="14" t="n">
        <x:v>1</x:v>
      </x:c>
      <x:c r="M533" t="str">
        <x:v>READY</x:v>
      </x:c>
      <x:c r="N533" t="str">
        <x:v>AKTIF</x:v>
      </x:c>
      <x:c r="O533" t="str"/>
      <x:c r="P533" t="str"/>
      <x:c r="Q533" t="str"/>
      <x:c r="R533" t="str"/>
      <x:c r="S533" t="str"/>
      <x:c r="T533" t="str"/>
      <x:c r="U533" s="18" t="n">
        <x:v>46134.041666666664</x:v>
      </x:c>
      <x:c r="V533" t="str">
        <x:v>INITIAL_IMPORT</x:v>
      </x:c>
    </x:row>
    <x:row r="534">
      <x:c r="A534" t="str">
        <x:v>PRD-JVS-0533</x:v>
      </x:c>
      <x:c r="B534" t="str">
        <x:v>JVS-0533</x:v>
      </x:c>
      <x:c r="C534" t="str">
        <x:v>Piston Seher 10M PX Taiwan Ring Tebal</x:v>
      </x:c>
      <x:c r="D534" t="str">
        <x:v>Mesin</x:v>
      </x:c>
      <x:c r="E534" t="str">
        <x:v>PX</x:v>
      </x:c>
      <x:c r="F534" t="str"/>
      <x:c r="G534" s="12" t="n">
        <x:v>120</x:v>
      </x:c>
      <x:c r="H534" s="12" t="n">
        <x:v>120</x:v>
      </x:c>
      <x:c r="I534" s="12" t="n">
        <x:v>0</x:v>
      </x:c>
      <x:c r="J534" s="16" t="n">
        <x:v>0</x:v>
      </x:c>
      <x:c r="K534" s="14" t="n">
        <x:v>1</x:v>
      </x:c>
      <x:c r="L534" s="14" t="n">
        <x:v>1</x:v>
      </x:c>
      <x:c r="M534" t="str">
        <x:v>LOW</x:v>
      </x:c>
      <x:c r="N534" t="str">
        <x:v>AKTIF</x:v>
      </x:c>
      <x:c r="O534" t="str"/>
      <x:c r="P534" t="str"/>
      <x:c r="Q534" t="str"/>
      <x:c r="R534" t="str"/>
      <x:c r="S534" t="str"/>
      <x:c r="T534" t="str"/>
      <x:c r="U534" s="18" t="n">
        <x:v>46134.041666666664</x:v>
      </x:c>
      <x:c r="V534" t="str">
        <x:v>INITIAL_IMPORT</x:v>
      </x:c>
    </x:row>
    <x:row r="535">
      <x:c r="A535" t="str">
        <x:v>PRD-JVS-0534</x:v>
      </x:c>
      <x:c r="B535" t="str">
        <x:v>JVS-0534</x:v>
      </x:c>
      <x:c r="C535" t="str">
        <x:v>Piston Seher 10M Taiwan Ring Tipis Ricambi</x:v>
      </x:c>
      <x:c r="D535" t="str">
        <x:v>Mesin</x:v>
      </x:c>
      <x:c r="E535" t="str"/>
      <x:c r="F535" t="str"/>
      <x:c r="G535" s="12" t="n">
        <x:v>120</x:v>
      </x:c>
      <x:c r="H535" s="12" t="n">
        <x:v>120</x:v>
      </x:c>
      <x:c r="I535" s="12" t="n">
        <x:v>0</x:v>
      </x:c>
      <x:c r="J535" s="16" t="n">
        <x:v>0</x:v>
      </x:c>
      <x:c r="K535" s="14" t="n">
        <x:v>1</x:v>
      </x:c>
      <x:c r="L535" s="14" t="n">
        <x:v>1</x:v>
      </x:c>
      <x:c r="M535" t="str">
        <x:v>LOW</x:v>
      </x:c>
      <x:c r="N535" t="str">
        <x:v>AKTIF</x:v>
      </x:c>
      <x:c r="O535" t="str"/>
      <x:c r="P535" t="str"/>
      <x:c r="Q535" t="str"/>
      <x:c r="R535" t="str"/>
      <x:c r="S535" t="str"/>
      <x:c r="T535" t="str"/>
      <x:c r="U535" s="18" t="n">
        <x:v>46134.041666666664</x:v>
      </x:c>
      <x:c r="V535" t="str">
        <x:v>INITIAL_IMPORT</x:v>
      </x:c>
    </x:row>
    <x:row r="536">
      <x:c r="A536" t="str">
        <x:v>PRD-JVS-0535</x:v>
      </x:c>
      <x:c r="B536" t="str">
        <x:v>JVS-0535</x:v>
      </x:c>
      <x:c r="C536" t="str">
        <x:v>Piston Seher 11M PX Meteor</x:v>
      </x:c>
      <x:c r="D536" t="str">
        <x:v>Mesin</x:v>
      </x:c>
      <x:c r="E536" t="str">
        <x:v>PX</x:v>
      </x:c>
      <x:c r="F536" t="str"/>
      <x:c r="G536" s="12" t="n">
        <x:v>80</x:v>
      </x:c>
      <x:c r="H536" s="12" t="n">
        <x:v>80</x:v>
      </x:c>
      <x:c r="I536" s="12" t="n">
        <x:v>0</x:v>
      </x:c>
      <x:c r="J536" s="16" t="n">
        <x:v>0</x:v>
      </x:c>
      <x:c r="K536" s="14" t="n">
        <x:v>2</x:v>
      </x:c>
      <x:c r="L536" s="14" t="n">
        <x:v>1</x:v>
      </x:c>
      <x:c r="M536" t="str">
        <x:v>READY</x:v>
      </x:c>
      <x:c r="N536" t="str">
        <x:v>AKTIF</x:v>
      </x:c>
      <x:c r="O536" t="str"/>
      <x:c r="P536" t="str"/>
      <x:c r="Q536" t="str"/>
      <x:c r="R536" t="str"/>
      <x:c r="S536" t="str"/>
      <x:c r="T536" t="str"/>
      <x:c r="U536" s="18" t="n">
        <x:v>46134.041666666664</x:v>
      </x:c>
      <x:c r="V536" t="str">
        <x:v>INITIAL_IMPORT</x:v>
      </x:c>
    </x:row>
    <x:row r="537">
      <x:c r="A537" t="str">
        <x:v>PRD-JVS-0536</x:v>
      </x:c>
      <x:c r="B537" t="str">
        <x:v>JVS-0536</x:v>
      </x:c>
      <x:c r="C537" t="str">
        <x:v>Piston Seher 11M PX Taiwan Ring Tebal</x:v>
      </x:c>
      <x:c r="D537" t="str">
        <x:v>Mesin</x:v>
      </x:c>
      <x:c r="E537" t="str">
        <x:v>PX</x:v>
      </x:c>
      <x:c r="F537" t="str"/>
      <x:c r="G537" s="12" t="n">
        <x:v>120</x:v>
      </x:c>
      <x:c r="H537" s="12" t="n">
        <x:v>120</x:v>
      </x:c>
      <x:c r="I537" s="12" t="n">
        <x:v>0</x:v>
      </x:c>
      <x:c r="J537" s="16" t="n">
        <x:v>0</x:v>
      </x:c>
      <x:c r="K537" s="14" t="n">
        <x:v>1</x:v>
      </x:c>
      <x:c r="L537" s="14" t="n">
        <x:v>1</x:v>
      </x:c>
      <x:c r="M537" t="str">
        <x:v>LOW</x:v>
      </x:c>
      <x:c r="N537" t="str">
        <x:v>AKTIF</x:v>
      </x:c>
      <x:c r="O537" t="str"/>
      <x:c r="P537" t="str"/>
      <x:c r="Q537" t="str"/>
      <x:c r="R537" t="str"/>
      <x:c r="S537" t="str"/>
      <x:c r="T537" t="str"/>
      <x:c r="U537" s="18" t="n">
        <x:v>46134.041666666664</x:v>
      </x:c>
      <x:c r="V537" t="str">
        <x:v>INITIAL_IMPORT</x:v>
      </x:c>
    </x:row>
    <x:row r="538">
      <x:c r="A538" t="str">
        <x:v>PRD-JVS-0537</x:v>
      </x:c>
      <x:c r="B538" t="str">
        <x:v>JVS-0537</x:v>
      </x:c>
      <x:c r="C538" t="str">
        <x:v>Piston Seher 11M PXE Taiwan Ring Tipis</x:v>
      </x:c>
      <x:c r="D538" t="str">
        <x:v>Mesin</x:v>
      </x:c>
      <x:c r="E538" t="str">
        <x:v>PXE, PX</x:v>
      </x:c>
      <x:c r="F538" t="str"/>
      <x:c r="G538" s="12" t="n">
        <x:v>120</x:v>
      </x:c>
      <x:c r="H538" s="12" t="n">
        <x:v>120</x:v>
      </x:c>
      <x:c r="I538" s="12" t="n">
        <x:v>0</x:v>
      </x:c>
      <x:c r="J538" s="16" t="n">
        <x:v>0</x:v>
      </x:c>
      <x:c r="K538" s="14" t="n">
        <x:v>1</x:v>
      </x:c>
      <x:c r="L538" s="14" t="n">
        <x:v>1</x:v>
      </x:c>
      <x:c r="M538" t="str">
        <x:v>LOW</x:v>
      </x:c>
      <x:c r="N538" t="str">
        <x:v>AKTIF</x:v>
      </x:c>
      <x:c r="O538" t="str"/>
      <x:c r="P538" t="str"/>
      <x:c r="Q538" t="str"/>
      <x:c r="R538" t="str"/>
      <x:c r="S538" t="str"/>
      <x:c r="T538" t="str"/>
      <x:c r="U538" s="18" t="n">
        <x:v>46134.041666666664</x:v>
      </x:c>
      <x:c r="V538" t="str">
        <x:v>INITIAL_IMPORT</x:v>
      </x:c>
    </x:row>
    <x:row r="539">
      <x:c r="A539" t="str">
        <x:v>PRD-JVS-0538</x:v>
      </x:c>
      <x:c r="B539" t="str">
        <x:v>JVS-0538</x:v>
      </x:c>
      <x:c r="C539" t="str">
        <x:v>Piston Seher 12M PX Meteor</x:v>
      </x:c>
      <x:c r="D539" t="str">
        <x:v>Mesin</x:v>
      </x:c>
      <x:c r="E539" t="str">
        <x:v>PX</x:v>
      </x:c>
      <x:c r="F539" t="str"/>
      <x:c r="G539" s="12" t="n">
        <x:v>85</x:v>
      </x:c>
      <x:c r="H539" s="12" t="n">
        <x:v>85</x:v>
      </x:c>
      <x:c r="I539" s="12" t="n">
        <x:v>0</x:v>
      </x:c>
      <x:c r="J539" s="16" t="n">
        <x:v>0</x:v>
      </x:c>
      <x:c r="K539" s="14" t="n">
        <x:v>2</x:v>
      </x:c>
      <x:c r="L539" s="14" t="n">
        <x:v>1</x:v>
      </x:c>
      <x:c r="M539" t="str">
        <x:v>READY</x:v>
      </x:c>
      <x:c r="N539" t="str">
        <x:v>AKTIF</x:v>
      </x:c>
      <x:c r="O539" t="str"/>
      <x:c r="P539" t="str"/>
      <x:c r="Q539" t="str"/>
      <x:c r="R539" t="str"/>
      <x:c r="S539" t="str"/>
      <x:c r="T539" t="str"/>
      <x:c r="U539" s="18" t="n">
        <x:v>46134.041666666664</x:v>
      </x:c>
      <x:c r="V539" t="str">
        <x:v>INITIAL_IMPORT</x:v>
      </x:c>
    </x:row>
    <x:row r="540">
      <x:c r="A540" t="str">
        <x:v>PRD-JVS-0539</x:v>
      </x:c>
      <x:c r="B540" t="str">
        <x:v>JVS-0539</x:v>
      </x:c>
      <x:c r="C540" t="str">
        <x:v>Piston Seher 12M PX Taiwan Ring Tebal</x:v>
      </x:c>
      <x:c r="D540" t="str">
        <x:v>Mesin</x:v>
      </x:c>
      <x:c r="E540" t="str">
        <x:v>PX</x:v>
      </x:c>
      <x:c r="F540" t="str"/>
      <x:c r="G540" s="12" t="n">
        <x:v>120</x:v>
      </x:c>
      <x:c r="H540" s="12" t="n">
        <x:v>120</x:v>
      </x:c>
      <x:c r="I540" s="12" t="n">
        <x:v>0</x:v>
      </x:c>
      <x:c r="J540" s="16" t="n">
        <x:v>0</x:v>
      </x:c>
      <x:c r="K540" s="14" t="n">
        <x:v>2</x:v>
      </x:c>
      <x:c r="L540" s="14" t="n">
        <x:v>1</x:v>
      </x:c>
      <x:c r="M540" t="str">
        <x:v>READY</x:v>
      </x:c>
      <x:c r="N540" t="str">
        <x:v>AKTIF</x:v>
      </x:c>
      <x:c r="O540" t="str"/>
      <x:c r="P540" t="str"/>
      <x:c r="Q540" t="str"/>
      <x:c r="R540" t="str"/>
      <x:c r="S540" t="str"/>
      <x:c r="T540" t="str"/>
      <x:c r="U540" s="18" t="n">
        <x:v>46134.041666666664</x:v>
      </x:c>
      <x:c r="V540" t="str">
        <x:v>INITIAL_IMPORT</x:v>
      </x:c>
    </x:row>
    <x:row r="541">
      <x:c r="A541" t="str">
        <x:v>PRD-JVS-0540</x:v>
      </x:c>
      <x:c r="B541" t="str">
        <x:v>JVS-0540</x:v>
      </x:c>
      <x:c r="C541" t="str">
        <x:v>Piston Seher 12M PXE Taiwan Ring Tipis</x:v>
      </x:c>
      <x:c r="D541" t="str">
        <x:v>Mesin</x:v>
      </x:c>
      <x:c r="E541" t="str">
        <x:v>PXE, PX</x:v>
      </x:c>
      <x:c r="F541" t="str"/>
      <x:c r="G541" s="12" t="n">
        <x:v>120</x:v>
      </x:c>
      <x:c r="H541" s="12" t="n">
        <x:v>120</x:v>
      </x:c>
      <x:c r="I541" s="12" t="n">
        <x:v>0</x:v>
      </x:c>
      <x:c r="J541" s="16" t="n">
        <x:v>0</x:v>
      </x:c>
      <x:c r="K541" s="14" t="n">
        <x:v>1</x:v>
      </x:c>
      <x:c r="L541" s="14" t="n">
        <x:v>1</x:v>
      </x:c>
      <x:c r="M541" t="str">
        <x:v>LOW</x:v>
      </x:c>
      <x:c r="N541" t="str">
        <x:v>AKTIF</x:v>
      </x:c>
      <x:c r="O541" t="str"/>
      <x:c r="P541" t="str"/>
      <x:c r="Q541" t="str"/>
      <x:c r="R541" t="str"/>
      <x:c r="S541" t="str"/>
      <x:c r="T541" t="str"/>
      <x:c r="U541" s="18" t="n">
        <x:v>46134.041666666664</x:v>
      </x:c>
      <x:c r="V541" t="str">
        <x:v>INITIAL_IMPORT</x:v>
      </x:c>
    </x:row>
    <x:row r="542">
      <x:c r="A542" t="str">
        <x:v>PRD-JVS-0541</x:v>
      </x:c>
      <x:c r="B542" t="str">
        <x:v>JVS-0541</x:v>
      </x:c>
      <x:c r="C542" t="str">
        <x:v>Piston Seher 5M PX Meteor</x:v>
      </x:c>
      <x:c r="D542" t="str">
        <x:v>Mesin</x:v>
      </x:c>
      <x:c r="E542" t="str">
        <x:v>PX</x:v>
      </x:c>
      <x:c r="F542" t="str"/>
      <x:c r="G542" s="12" t="n">
        <x:v>85</x:v>
      </x:c>
      <x:c r="H542" s="12" t="n">
        <x:v>85</x:v>
      </x:c>
      <x:c r="I542" s="12" t="n">
        <x:v>0</x:v>
      </x:c>
      <x:c r="J542" s="16" t="n">
        <x:v>0</x:v>
      </x:c>
      <x:c r="K542" s="14" t="n">
        <x:v>2</x:v>
      </x:c>
      <x:c r="L542" s="14" t="n">
        <x:v>1</x:v>
      </x:c>
      <x:c r="M542" t="str">
        <x:v>READY</x:v>
      </x:c>
      <x:c r="N542" t="str">
        <x:v>AKTIF</x:v>
      </x:c>
      <x:c r="O542" t="str"/>
      <x:c r="P542" t="str"/>
      <x:c r="Q542" t="str"/>
      <x:c r="R542" t="str"/>
      <x:c r="S542" t="str"/>
      <x:c r="T542" t="str"/>
      <x:c r="U542" s="18" t="n">
        <x:v>46134.041666666664</x:v>
      </x:c>
      <x:c r="V542" t="str">
        <x:v>INITIAL_IMPORT</x:v>
      </x:c>
    </x:row>
    <x:row r="543">
      <x:c r="A543" t="str">
        <x:v>PRD-JVS-0542</x:v>
      </x:c>
      <x:c r="B543" t="str">
        <x:v>JVS-0542</x:v>
      </x:c>
      <x:c r="C543" t="str">
        <x:v>Piston Seher 6M PX Taiwan Ring Tebal</x:v>
      </x:c>
      <x:c r="D543" t="str">
        <x:v>Mesin</x:v>
      </x:c>
      <x:c r="E543" t="str">
        <x:v>PX</x:v>
      </x:c>
      <x:c r="F543" t="str"/>
      <x:c r="G543" s="12" t="n">
        <x:v>120</x:v>
      </x:c>
      <x:c r="H543" s="12" t="n">
        <x:v>120</x:v>
      </x:c>
      <x:c r="I543" s="12" t="n">
        <x:v>0</x:v>
      </x:c>
      <x:c r="J543" s="16" t="n">
        <x:v>0</x:v>
      </x:c>
      <x:c r="K543" s="14" t="n">
        <x:v>0</x:v>
      </x:c>
      <x:c r="L543" s="14" t="n">
        <x:v>1</x:v>
      </x:c>
      <x:c r="M543" t="str">
        <x:v>OUT OF STOCK</x:v>
      </x:c>
      <x:c r="N543" t="str">
        <x:v>AKTIF</x:v>
      </x:c>
      <x:c r="O543" t="str"/>
      <x:c r="P543" t="str"/>
      <x:c r="Q543" t="str"/>
      <x:c r="R543" t="str"/>
      <x:c r="S543" t="str"/>
      <x:c r="T543" t="str"/>
      <x:c r="U543" s="18" t="n">
        <x:v>46134.041666666664</x:v>
      </x:c>
      <x:c r="V543" t="str">
        <x:v>INITIAL_IMPORT</x:v>
      </x:c>
    </x:row>
    <x:row r="544">
      <x:c r="A544" t="str">
        <x:v>PRD-JVS-0543</x:v>
      </x:c>
      <x:c r="B544" t="str">
        <x:v>JVS-0543</x:v>
      </x:c>
      <x:c r="C544" t="str">
        <x:v>Piston Seher 6M PXE Taiwan</x:v>
      </x:c>
      <x:c r="D544" t="str">
        <x:v>Mesin</x:v>
      </x:c>
      <x:c r="E544" t="str">
        <x:v>PXE, PX</x:v>
      </x:c>
      <x:c r="F544" t="str"/>
      <x:c r="G544" s="12" t="n">
        <x:v>120</x:v>
      </x:c>
      <x:c r="H544" s="12" t="n">
        <x:v>120</x:v>
      </x:c>
      <x:c r="I544" s="12" t="n">
        <x:v>0</x:v>
      </x:c>
      <x:c r="J544" s="16" t="n">
        <x:v>0</x:v>
      </x:c>
      <x:c r="K544" s="14" t="n">
        <x:v>1</x:v>
      </x:c>
      <x:c r="L544" s="14" t="n">
        <x:v>1</x:v>
      </x:c>
      <x:c r="M544" t="str">
        <x:v>LOW</x:v>
      </x:c>
      <x:c r="N544" t="str">
        <x:v>AKTIF</x:v>
      </x:c>
      <x:c r="O544" t="str"/>
      <x:c r="P544" t="str"/>
      <x:c r="Q544" t="str"/>
      <x:c r="R544" t="str"/>
      <x:c r="S544" t="str"/>
      <x:c r="T544" t="str"/>
      <x:c r="U544" s="18" t="n">
        <x:v>46134.041666666664</x:v>
      </x:c>
      <x:c r="V544" t="str">
        <x:v>INITIAL_IMPORT</x:v>
      </x:c>
    </x:row>
    <x:row r="545">
      <x:c r="A545" t="str">
        <x:v>PRD-JVS-0544</x:v>
      </x:c>
      <x:c r="B545" t="str">
        <x:v>JVS-0544</x:v>
      </x:c>
      <x:c r="C545" t="str">
        <x:v>Piston Seher 7M PX Taiwan Ring Tebal</x:v>
      </x:c>
      <x:c r="D545" t="str">
        <x:v>Mesin</x:v>
      </x:c>
      <x:c r="E545" t="str">
        <x:v>PX</x:v>
      </x:c>
      <x:c r="F545" t="str"/>
      <x:c r="G545" s="12" t="n">
        <x:v>120</x:v>
      </x:c>
      <x:c r="H545" s="12" t="n">
        <x:v>120</x:v>
      </x:c>
      <x:c r="I545" s="12" t="n">
        <x:v>0</x:v>
      </x:c>
      <x:c r="J545" s="16" t="n">
        <x:v>0</x:v>
      </x:c>
      <x:c r="K545" s="14" t="n">
        <x:v>1</x:v>
      </x:c>
      <x:c r="L545" s="14" t="n">
        <x:v>1</x:v>
      </x:c>
      <x:c r="M545" t="str">
        <x:v>LOW</x:v>
      </x:c>
      <x:c r="N545" t="str">
        <x:v>AKTIF</x:v>
      </x:c>
      <x:c r="O545" t="str"/>
      <x:c r="P545" t="str"/>
      <x:c r="Q545" t="str"/>
      <x:c r="R545" t="str"/>
      <x:c r="S545" t="str"/>
      <x:c r="T545" t="str"/>
      <x:c r="U545" s="18" t="n">
        <x:v>46134.041666666664</x:v>
      </x:c>
      <x:c r="V545" t="str">
        <x:v>INITIAL_IMPORT</x:v>
      </x:c>
    </x:row>
    <x:row r="546">
      <x:c r="A546" t="str">
        <x:v>PRD-JVS-0545</x:v>
      </x:c>
      <x:c r="B546" t="str">
        <x:v>JVS-0545</x:v>
      </x:c>
      <x:c r="C546" t="str">
        <x:v>Piston Seher 7M PXE Taiwan Ring Tipis</x:v>
      </x:c>
      <x:c r="D546" t="str">
        <x:v>Mesin</x:v>
      </x:c>
      <x:c r="E546" t="str">
        <x:v>PXE, PX</x:v>
      </x:c>
      <x:c r="F546" t="str"/>
      <x:c r="G546" s="12" t="n">
        <x:v>120</x:v>
      </x:c>
      <x:c r="H546" s="12" t="n">
        <x:v>120</x:v>
      </x:c>
      <x:c r="I546" s="12" t="n">
        <x:v>0</x:v>
      </x:c>
      <x:c r="J546" s="16" t="n">
        <x:v>0</x:v>
      </x:c>
      <x:c r="K546" s="14" t="n">
        <x:v>1</x:v>
      </x:c>
      <x:c r="L546" s="14" t="n">
        <x:v>1</x:v>
      </x:c>
      <x:c r="M546" t="str">
        <x:v>LOW</x:v>
      </x:c>
      <x:c r="N546" t="str">
        <x:v>AKTIF</x:v>
      </x:c>
      <x:c r="O546" t="str"/>
      <x:c r="P546" t="str"/>
      <x:c r="Q546" t="str"/>
      <x:c r="R546" t="str"/>
      <x:c r="S546" t="str"/>
      <x:c r="T546" t="str"/>
      <x:c r="U546" s="18" t="n">
        <x:v>46134.041666666664</x:v>
      </x:c>
      <x:c r="V546" t="str">
        <x:v>INITIAL_IMPORT</x:v>
      </x:c>
    </x:row>
    <x:row r="547">
      <x:c r="A547" t="str">
        <x:v>PRD-JVS-0546</x:v>
      </x:c>
      <x:c r="B547" t="str">
        <x:v>JVS-0546</x:v>
      </x:c>
      <x:c r="C547" t="str">
        <x:v>Piston Seher 8M PX Meteor</x:v>
      </x:c>
      <x:c r="D547" t="str">
        <x:v>Mesin</x:v>
      </x:c>
      <x:c r="E547" t="str">
        <x:v>PX</x:v>
      </x:c>
      <x:c r="F547" t="str"/>
      <x:c r="G547" s="12" t="n">
        <x:v>85</x:v>
      </x:c>
      <x:c r="H547" s="12" t="n">
        <x:v>85</x:v>
      </x:c>
      <x:c r="I547" s="12" t="n">
        <x:v>0</x:v>
      </x:c>
      <x:c r="J547" s="16" t="n">
        <x:v>0</x:v>
      </x:c>
      <x:c r="K547" s="14" t="n">
        <x:v>3</x:v>
      </x:c>
      <x:c r="L547" s="14" t="n">
        <x:v>1</x:v>
      </x:c>
      <x:c r="M547" t="str">
        <x:v>READY</x:v>
      </x:c>
      <x:c r="N547" t="str">
        <x:v>AKTIF</x:v>
      </x:c>
      <x:c r="O547" t="str"/>
      <x:c r="P547" t="str"/>
      <x:c r="Q547" t="str"/>
      <x:c r="R547" t="str"/>
      <x:c r="S547" t="str"/>
      <x:c r="T547" t="str"/>
      <x:c r="U547" s="18" t="n">
        <x:v>46134.041666666664</x:v>
      </x:c>
      <x:c r="V547" t="str">
        <x:v>INITIAL_IMPORT</x:v>
      </x:c>
    </x:row>
    <x:row r="548">
      <x:c r="A548" t="str">
        <x:v>PRD-JVS-0547</x:v>
      </x:c>
      <x:c r="B548" t="str">
        <x:v>JVS-0547</x:v>
      </x:c>
      <x:c r="C548" t="str">
        <x:v>Piston Seher 8M PX Taiwan Ring Tebal</x:v>
      </x:c>
      <x:c r="D548" t="str">
        <x:v>Mesin</x:v>
      </x:c>
      <x:c r="E548" t="str">
        <x:v>PX</x:v>
      </x:c>
      <x:c r="F548" t="str"/>
      <x:c r="G548" s="12" t="n">
        <x:v>120</x:v>
      </x:c>
      <x:c r="H548" s="12" t="n">
        <x:v>120</x:v>
      </x:c>
      <x:c r="I548" s="12" t="n">
        <x:v>0</x:v>
      </x:c>
      <x:c r="J548" s="16" t="n">
        <x:v>0</x:v>
      </x:c>
      <x:c r="K548" s="14" t="n">
        <x:v>1</x:v>
      </x:c>
      <x:c r="L548" s="14" t="n">
        <x:v>1</x:v>
      </x:c>
      <x:c r="M548" t="str">
        <x:v>LOW</x:v>
      </x:c>
      <x:c r="N548" t="str">
        <x:v>AKTIF</x:v>
      </x:c>
      <x:c r="O548" t="str"/>
      <x:c r="P548" t="str"/>
      <x:c r="Q548" t="str"/>
      <x:c r="R548" t="str"/>
      <x:c r="S548" t="str"/>
      <x:c r="T548" t="str"/>
      <x:c r="U548" s="18" t="n">
        <x:v>46134.041666666664</x:v>
      </x:c>
      <x:c r="V548" t="str">
        <x:v>INITIAL_IMPORT</x:v>
      </x:c>
    </x:row>
    <x:row r="549">
      <x:c r="A549" t="str">
        <x:v>PRD-JVS-0548</x:v>
      </x:c>
      <x:c r="B549" t="str">
        <x:v>JVS-0548</x:v>
      </x:c>
      <x:c r="C549" t="str">
        <x:v>Piston Seher 8M PXE Taiwan Ring Tipis</x:v>
      </x:c>
      <x:c r="D549" t="str">
        <x:v>Mesin</x:v>
      </x:c>
      <x:c r="E549" t="str">
        <x:v>PXE, PX</x:v>
      </x:c>
      <x:c r="F549" t="str"/>
      <x:c r="G549" s="12" t="n">
        <x:v>120</x:v>
      </x:c>
      <x:c r="H549" s="12" t="n">
        <x:v>120</x:v>
      </x:c>
      <x:c r="I549" s="12" t="n">
        <x:v>0</x:v>
      </x:c>
      <x:c r="J549" s="16" t="n">
        <x:v>0</x:v>
      </x:c>
      <x:c r="K549" s="14" t="n">
        <x:v>1</x:v>
      </x:c>
      <x:c r="L549" s="14" t="n">
        <x:v>1</x:v>
      </x:c>
      <x:c r="M549" t="str">
        <x:v>LOW</x:v>
      </x:c>
      <x:c r="N549" t="str">
        <x:v>AKTIF</x:v>
      </x:c>
      <x:c r="O549" t="str"/>
      <x:c r="P549" t="str"/>
      <x:c r="Q549" t="str"/>
      <x:c r="R549" t="str"/>
      <x:c r="S549" t="str"/>
      <x:c r="T549" t="str"/>
      <x:c r="U549" s="18" t="n">
        <x:v>46134.041666666664</x:v>
      </x:c>
      <x:c r="V549" t="str">
        <x:v>INITIAL_IMPORT</x:v>
      </x:c>
    </x:row>
    <x:row r="550">
      <x:c r="A550" t="str">
        <x:v>PRD-JVS-0549</x:v>
      </x:c>
      <x:c r="B550" t="str">
        <x:v>JVS-0549</x:v>
      </x:c>
      <x:c r="C550" t="str">
        <x:v>Piston Seher 9M PXE tipis taiwan</x:v>
      </x:c>
      <x:c r="D550" t="str">
        <x:v>Mesin</x:v>
      </x:c>
      <x:c r="E550" t="str">
        <x:v>PXE, PX</x:v>
      </x:c>
      <x:c r="F550" t="str"/>
      <x:c r="G550" s="12" t="n">
        <x:v>120</x:v>
      </x:c>
      <x:c r="H550" s="12" t="n">
        <x:v>120</x:v>
      </x:c>
      <x:c r="I550" s="12" t="n">
        <x:v>0</x:v>
      </x:c>
      <x:c r="J550" s="16" t="n">
        <x:v>0</x:v>
      </x:c>
      <x:c r="K550" s="14" t="n">
        <x:v>2</x:v>
      </x:c>
      <x:c r="L550" s="14" t="n">
        <x:v>1</x:v>
      </x:c>
      <x:c r="M550" t="str">
        <x:v>READY</x:v>
      </x:c>
      <x:c r="N550" t="str">
        <x:v>AKTIF</x:v>
      </x:c>
      <x:c r="O550" t="str"/>
      <x:c r="P550" t="str"/>
      <x:c r="Q550" t="str"/>
      <x:c r="R550" t="str"/>
      <x:c r="S550" t="str"/>
      <x:c r="T550" t="str"/>
      <x:c r="U550" s="18" t="n">
        <x:v>46134.041666666664</x:v>
      </x:c>
      <x:c r="V550" t="str">
        <x:v>INITIAL_IMPORT</x:v>
      </x:c>
    </x:row>
    <x:row r="551">
      <x:c r="A551" t="str">
        <x:v>PRD-JVS-0550</x:v>
      </x:c>
      <x:c r="B551" t="str">
        <x:v>JVS-0550</x:v>
      </x:c>
      <x:c r="C551" t="str">
        <x:v>Plastik dudukan tembaga spil CDI 12,5mm</x:v>
      </x:c>
      <x:c r="D551" t="str">
        <x:v>Kelistrikan</x:v>
      </x:c>
      <x:c r="E551" t="str"/>
      <x:c r="F551" t="str"/>
      <x:c r="G551" s="12" t="n">
        <x:v>18</x:v>
      </x:c>
      <x:c r="H551" s="12" t="n">
        <x:v>18</x:v>
      </x:c>
      <x:c r="I551" s="12" t="n">
        <x:v>0</x:v>
      </x:c>
      <x:c r="J551" s="16" t="n">
        <x:v>0</x:v>
      </x:c>
      <x:c r="K551" s="14" t="n">
        <x:v>0</x:v>
      </x:c>
      <x:c r="L551" s="14" t="n">
        <x:v>1</x:v>
      </x:c>
      <x:c r="M551" t="str">
        <x:v>OUT OF STOCK</x:v>
      </x:c>
      <x:c r="N551" t="str">
        <x:v>AKTIF</x:v>
      </x:c>
      <x:c r="O551" t="str"/>
      <x:c r="P551" t="str"/>
      <x:c r="Q551" t="str"/>
      <x:c r="R551" t="str"/>
      <x:c r="S551" t="str"/>
      <x:c r="T551" t="str"/>
      <x:c r="U551" s="18" t="n">
        <x:v>46134.041666666664</x:v>
      </x:c>
      <x:c r="V551" t="str">
        <x:v>INITIAL_IMPORT</x:v>
      </x:c>
    </x:row>
    <x:row r="552">
      <x:c r="A552" t="str">
        <x:v>PRD-JVS-0551</x:v>
      </x:c>
      <x:c r="B552" t="str">
        <x:v>JVS-0551</x:v>
      </x:c>
      <x:c r="C552" t="str">
        <x:v>Plastik dudukan tembaga spul CDI 14,5mm</x:v>
      </x:c>
      <x:c r="D552" t="str">
        <x:v>Kelistrikan</x:v>
      </x:c>
      <x:c r="E552" t="str"/>
      <x:c r="F552" t="str"/>
      <x:c r="G552" s="12" t="n">
        <x:v>20</x:v>
      </x:c>
      <x:c r="H552" s="12" t="n">
        <x:v>20</x:v>
      </x:c>
      <x:c r="I552" s="12" t="n">
        <x:v>0</x:v>
      </x:c>
      <x:c r="J552" s="16" t="n">
        <x:v>0</x:v>
      </x:c>
      <x:c r="K552" s="14" t="n">
        <x:v>0</x:v>
      </x:c>
      <x:c r="L552" s="14" t="n">
        <x:v>1</x:v>
      </x:c>
      <x:c r="M552" t="str">
        <x:v>OUT OF STOCK</x:v>
      </x:c>
      <x:c r="N552" t="str">
        <x:v>AKTIF</x:v>
      </x:c>
      <x:c r="O552" t="str"/>
      <x:c r="P552" t="str"/>
      <x:c r="Q552" t="str"/>
      <x:c r="R552" t="str"/>
      <x:c r="S552" t="str"/>
      <x:c r="T552" t="str"/>
      <x:c r="U552" s="18" t="n">
        <x:v>46134.041666666664</x:v>
      </x:c>
      <x:c r="V552" t="str">
        <x:v>INITIAL_IMPORT</x:v>
      </x:c>
    </x:row>
    <x:row r="553">
      <x:c r="A553" t="str">
        <x:v>PRD-JVS-0552</x:v>
      </x:c>
      <x:c r="B553" t="str">
        <x:v>JVS-0552</x:v>
      </x:c>
      <x:c r="C553" t="str">
        <x:v>Plastik kaitan Klip Lubang Tepong</x:v>
      </x:c>
      <x:c r="D553" t="str">
        <x:v>Body</x:v>
      </x:c>
      <x:c r="E553" t="str"/>
      <x:c r="F553" t="str"/>
      <x:c r="G553" s="12" t="n">
        <x:v>4</x:v>
      </x:c>
      <x:c r="H553" s="12" t="n">
        <x:v>4</x:v>
      </x:c>
      <x:c r="I553" s="12" t="n">
        <x:v>0</x:v>
      </x:c>
      <x:c r="J553" s="16" t="n">
        <x:v>0</x:v>
      </x:c>
      <x:c r="K553" s="14" t="n">
        <x:v>8</x:v>
      </x:c>
      <x:c r="L553" s="14" t="n">
        <x:v>1</x:v>
      </x:c>
      <x:c r="M553" t="str">
        <x:v>READY</x:v>
      </x:c>
      <x:c r="N553" t="str">
        <x:v>AKTIF</x:v>
      </x:c>
      <x:c r="O553" t="str"/>
      <x:c r="P553" t="str"/>
      <x:c r="Q553" t="str"/>
      <x:c r="R553" t="str"/>
      <x:c r="S553" t="str"/>
      <x:c r="T553" t="str"/>
      <x:c r="U553" s="18" t="n">
        <x:v>46134.041666666664</x:v>
      </x:c>
      <x:c r="V553" t="str">
        <x:v>INITIAL_IMPORT</x:v>
      </x:c>
    </x:row>
    <x:row r="554">
      <x:c r="A554" t="str">
        <x:v>PRD-JVS-0553</x:v>
      </x:c>
      <x:c r="B554" t="str">
        <x:v>JVS-0553</x:v>
      </x:c>
      <x:c r="C554" t="str">
        <x:v>Plastik Lidah Tengah Lantai Vespa PX Series</x:v>
      </x:c>
      <x:c r="D554" t="str">
        <x:v>Aksesoris</x:v>
      </x:c>
      <x:c r="E554" t="str">
        <x:v>PX</x:v>
      </x:c>
      <x:c r="F554" t="str"/>
      <x:c r="G554" s="12" t="n">
        <x:v>30</x:v>
      </x:c>
      <x:c r="H554" s="12" t="n">
        <x:v>30</x:v>
      </x:c>
      <x:c r="I554" s="12" t="n">
        <x:v>0</x:v>
      </x:c>
      <x:c r="J554" s="16" t="n">
        <x:v>0</x:v>
      </x:c>
      <x:c r="K554" s="14" t="n">
        <x:v>0</x:v>
      </x:c>
      <x:c r="L554" s="14" t="n">
        <x:v>1</x:v>
      </x:c>
      <x:c r="M554" t="str">
        <x:v>OUT OF STOCK</x:v>
      </x:c>
      <x:c r="N554" t="str">
        <x:v>AKTIF</x:v>
      </x:c>
      <x:c r="O554" t="str"/>
      <x:c r="P554" t="str"/>
      <x:c r="Q554" t="str"/>
      <x:c r="R554" t="str"/>
      <x:c r="S554" t="str"/>
      <x:c r="T554" t="str"/>
      <x:c r="U554" s="18" t="n">
        <x:v>46134.041666666664</x:v>
      </x:c>
      <x:c r="V554" t="str">
        <x:v>INITIAL_IMPORT</x:v>
      </x:c>
    </x:row>
    <x:row r="555">
      <x:c r="A555" t="str">
        <x:v>PRD-JVS-0554</x:v>
      </x:c>
      <x:c r="B555" t="str">
        <x:v>JVS-0554</x:v>
      </x:c>
      <x:c r="C555" t="str">
        <x:v>Plastik Penahan Seling Bagian Gas Vespa PX Merk pendek Danmotor</x:v>
      </x:c>
      <x:c r="D555" t="str">
        <x:v>Aksesoris</x:v>
      </x:c>
      <x:c r="E555" t="str">
        <x:v>PX</x:v>
      </x:c>
      <x:c r="F555" t="str"/>
      <x:c r="G555" s="12" t="n">
        <x:v>8</x:v>
      </x:c>
      <x:c r="H555" s="12" t="n">
        <x:v>8</x:v>
      </x:c>
      <x:c r="I555" s="12" t="n">
        <x:v>0</x:v>
      </x:c>
      <x:c r="J555" s="16" t="n">
        <x:v>0</x:v>
      </x:c>
      <x:c r="K555" s="14" t="n">
        <x:v>5</x:v>
      </x:c>
      <x:c r="L555" s="14" t="n">
        <x:v>1</x:v>
      </x:c>
      <x:c r="M555" t="str">
        <x:v>READY</x:v>
      </x:c>
      <x:c r="N555" t="str">
        <x:v>AKTIF</x:v>
      </x:c>
      <x:c r="O555" t="str"/>
      <x:c r="P555" t="str"/>
      <x:c r="Q555" t="str"/>
      <x:c r="R555" t="str"/>
      <x:c r="S555" t="str"/>
      <x:c r="T555" t="str"/>
      <x:c r="U555" s="18" t="n">
        <x:v>46134.041666666664</x:v>
      </x:c>
      <x:c r="V555" t="str">
        <x:v>INITIAL_IMPORT</x:v>
      </x:c>
    </x:row>
    <x:row r="556">
      <x:c r="A556" t="str">
        <x:v>PRD-JVS-0555</x:v>
      </x:c>
      <x:c r="B556" t="str">
        <x:v>JVS-0555</x:v>
      </x:c>
      <x:c r="C556" t="str">
        <x:v>Plastik Penahan Seling Bagian Perseneling Stang Vespa PX Merk Danmotor</x:v>
      </x:c>
      <x:c r="D556" t="str">
        <x:v>Body</x:v>
      </x:c>
      <x:c r="E556" t="str">
        <x:v>PX</x:v>
      </x:c>
      <x:c r="F556" t="str"/>
      <x:c r="G556" s="12" t="n">
        <x:v>8</x:v>
      </x:c>
      <x:c r="H556" s="12" t="n">
        <x:v>8</x:v>
      </x:c>
      <x:c r="I556" s="12" t="n">
        <x:v>0</x:v>
      </x:c>
      <x:c r="J556" s="16" t="n">
        <x:v>0</x:v>
      </x:c>
      <x:c r="K556" s="14" t="n">
        <x:v>3</x:v>
      </x:c>
      <x:c r="L556" s="14" t="n">
        <x:v>1</x:v>
      </x:c>
      <x:c r="M556" t="str">
        <x:v>READY</x:v>
      </x:c>
      <x:c r="N556" t="str">
        <x:v>AKTIF</x:v>
      </x:c>
      <x:c r="O556" t="str"/>
      <x:c r="P556" t="str"/>
      <x:c r="Q556" t="str"/>
      <x:c r="R556" t="str"/>
      <x:c r="S556" t="str"/>
      <x:c r="T556" t="str"/>
      <x:c r="U556" s="18" t="n">
        <x:v>46134.041666666664</x:v>
      </x:c>
      <x:c r="V556" t="str">
        <x:v>INITIAL_IMPORT</x:v>
      </x:c>
    </x:row>
    <x:row r="557">
      <x:c r="A557" t="str">
        <x:v>PRD-JVS-0556</x:v>
      </x:c>
      <x:c r="B557" t="str">
        <x:v>JVS-0556</x:v>
      </x:c>
      <x:c r="C557" t="str">
        <x:v>Plat AB Shockbreaker Vespa Super, Sprint, PS</x:v>
      </x:c>
      <x:c r="D557" t="str">
        <x:v>Kaki-Kaki</x:v>
      </x:c>
      <x:c r="E557" t="str">
        <x:v>SUPER, SPRINT, PS</x:v>
      </x:c>
      <x:c r="F557" t="str"/>
      <x:c r="G557" s="12" t="n">
        <x:v>15</x:v>
      </x:c>
      <x:c r="H557" s="12" t="n">
        <x:v>15</x:v>
      </x:c>
      <x:c r="I557" s="12" t="n">
        <x:v>0</x:v>
      </x:c>
      <x:c r="J557" s="16" t="n">
        <x:v>0</x:v>
      </x:c>
      <x:c r="K557" s="14" t="n">
        <x:v>4</x:v>
      </x:c>
      <x:c r="L557" s="14" t="n">
        <x:v>1</x:v>
      </x:c>
      <x:c r="M557" t="str">
        <x:v>READY</x:v>
      </x:c>
      <x:c r="N557" t="str">
        <x:v>AKTIF</x:v>
      </x:c>
      <x:c r="O557" t="str"/>
      <x:c r="P557" t="str"/>
      <x:c r="Q557" t="str"/>
      <x:c r="R557" t="str"/>
      <x:c r="S557" t="str"/>
      <x:c r="T557" t="str"/>
      <x:c r="U557" s="18" t="n">
        <x:v>46134.041666666664</x:v>
      </x:c>
      <x:c r="V557" t="str">
        <x:v>INITIAL_IMPORT</x:v>
      </x:c>
    </x:row>
    <x:row r="558">
      <x:c r="A558" t="str">
        <x:v>PRD-JVS-0557</x:v>
      </x:c>
      <x:c r="B558" t="str">
        <x:v>JVS-0557</x:v>
      </x:c>
      <x:c r="C558" t="str">
        <x:v>Plat Dek Tatakan Standar tengah Bawah Pelindung lantai set</x:v>
      </x:c>
      <x:c r="D558" t="str">
        <x:v>Kaki-Kaki</x:v>
      </x:c>
      <x:c r="E558" t="str"/>
      <x:c r="F558" t="str"/>
      <x:c r="G558" s="12" t="n">
        <x:v>75</x:v>
      </x:c>
      <x:c r="H558" s="12" t="n">
        <x:v>75</x:v>
      </x:c>
      <x:c r="I558" s="12" t="n">
        <x:v>0</x:v>
      </x:c>
      <x:c r="J558" s="16" t="n">
        <x:v>0</x:v>
      </x:c>
      <x:c r="K558" s="14" t="n">
        <x:v>1</x:v>
      </x:c>
      <x:c r="L558" s="14" t="n">
        <x:v>1</x:v>
      </x:c>
      <x:c r="M558" t="str">
        <x:v>LOW</x:v>
      </x:c>
      <x:c r="N558" t="str">
        <x:v>AKTIF</x:v>
      </x:c>
      <x:c r="O558" t="str"/>
      <x:c r="P558" t="str"/>
      <x:c r="Q558" t="str"/>
      <x:c r="R558" t="str"/>
      <x:c r="S558" t="str"/>
      <x:c r="T558" t="str"/>
      <x:c r="U558" s="18" t="n">
        <x:v>46134.041666666664</x:v>
      </x:c>
      <x:c r="V558" t="str">
        <x:v>INITIAL_IMPORT</x:v>
      </x:c>
    </x:row>
    <x:row r="559">
      <x:c r="A559" t="str">
        <x:v>PRD-JVS-0558</x:v>
      </x:c>
      <x:c r="B559" t="str">
        <x:v>JVS-0558</x:v>
      </x:c>
      <x:c r="C559" t="str">
        <x:v>Plat Gesek Kopling Per 6</x:v>
      </x:c>
      <x:c r="D559" t="str">
        <x:v>Mesin</x:v>
      </x:c>
      <x:c r="E559" t="str"/>
      <x:c r="F559" t="str"/>
      <x:c r="G559" s="12" t="n">
        <x:v>35</x:v>
      </x:c>
      <x:c r="H559" s="12" t="n">
        <x:v>35</x:v>
      </x:c>
      <x:c r="I559" s="12" t="n">
        <x:v>0</x:v>
      </x:c>
      <x:c r="J559" s="16" t="n">
        <x:v>0</x:v>
      </x:c>
      <x:c r="K559" s="14" t="n">
        <x:v>2</x:v>
      </x:c>
      <x:c r="L559" s="14" t="n">
        <x:v>1</x:v>
      </x:c>
      <x:c r="M559" t="str">
        <x:v>READY</x:v>
      </x:c>
      <x:c r="N559" t="str">
        <x:v>AKTIF</x:v>
      </x:c>
      <x:c r="O559" t="str"/>
      <x:c r="P559" t="str"/>
      <x:c r="Q559" t="str"/>
      <x:c r="R559" t="str"/>
      <x:c r="S559" t="str"/>
      <x:c r="T559" t="str"/>
      <x:c r="U559" s="18" t="n">
        <x:v>46134.041666666664</x:v>
      </x:c>
      <x:c r="V559" t="str">
        <x:v>INITIAL_IMPORT</x:v>
      </x:c>
    </x:row>
    <x:row r="560">
      <x:c r="A560" t="str">
        <x:v>PRD-JVS-0559</x:v>
      </x:c>
      <x:c r="B560" t="str">
        <x:v>JVS-0559</x:v>
      </x:c>
      <x:c r="C560" t="str">
        <x:v>Plat Gesek Kopling Per 7</x:v>
      </x:c>
      <x:c r="D560" t="str">
        <x:v>Mesin</x:v>
      </x:c>
      <x:c r="E560" t="str"/>
      <x:c r="F560" t="str"/>
      <x:c r="G560" s="12" t="n">
        <x:v>35</x:v>
      </x:c>
      <x:c r="H560" s="12" t="n">
        <x:v>35</x:v>
      </x:c>
      <x:c r="I560" s="12" t="n">
        <x:v>0</x:v>
      </x:c>
      <x:c r="J560" s="16" t="n">
        <x:v>0</x:v>
      </x:c>
      <x:c r="K560" s="14" t="n">
        <x:v>2</x:v>
      </x:c>
      <x:c r="L560" s="14" t="n">
        <x:v>1</x:v>
      </x:c>
      <x:c r="M560" t="str">
        <x:v>READY</x:v>
      </x:c>
      <x:c r="N560" t="str">
        <x:v>AKTIF</x:v>
      </x:c>
      <x:c r="O560" t="str"/>
      <x:c r="P560" t="str"/>
      <x:c r="Q560" t="str"/>
      <x:c r="R560" t="str"/>
      <x:c r="S560" t="str"/>
      <x:c r="T560" t="str"/>
      <x:c r="U560" s="18" t="n">
        <x:v>46134.041666666664</x:v>
      </x:c>
      <x:c r="V560" t="str">
        <x:v>INITIAL_IMPORT</x:v>
      </x:c>
    </x:row>
    <x:row r="561">
      <x:c r="A561" t="str">
        <x:v>PRD-JVS-0560</x:v>
      </x:c>
      <x:c r="B561" t="str">
        <x:v>JVS-0560</x:v>
      </x:c>
      <x:c r="C561" t="str">
        <x:v>Plat Gigi Susun Per Double</x:v>
      </x:c>
      <x:c r="D561" t="str">
        <x:v>Mesin</x:v>
      </x:c>
      <x:c r="E561" t="str"/>
      <x:c r="F561" t="str"/>
      <x:c r="G561" s="12" t="n">
        <x:v>38</x:v>
      </x:c>
      <x:c r="H561" s="12" t="n">
        <x:v>38</x:v>
      </x:c>
      <x:c r="I561" s="12" t="n">
        <x:v>0</x:v>
      </x:c>
      <x:c r="J561" s="16" t="n">
        <x:v>0</x:v>
      </x:c>
      <x:c r="K561" s="14" t="n">
        <x:v>3</x:v>
      </x:c>
      <x:c r="L561" s="14" t="n">
        <x:v>1</x:v>
      </x:c>
      <x:c r="M561" t="str">
        <x:v>READY</x:v>
      </x:c>
      <x:c r="N561" t="str">
        <x:v>AKTIF</x:v>
      </x:c>
      <x:c r="O561" t="str"/>
      <x:c r="P561" t="str"/>
      <x:c r="Q561" t="str"/>
      <x:c r="R561" t="str"/>
      <x:c r="S561" t="str"/>
      <x:c r="T561" t="str"/>
      <x:c r="U561" s="18" t="n">
        <x:v>46134.041666666664</x:v>
      </x:c>
      <x:c r="V561" t="str">
        <x:v>INITIAL_IMPORT</x:v>
      </x:c>
    </x:row>
    <x:row r="562">
      <x:c r="A562" t="str">
        <x:v>PRD-JVS-0561</x:v>
      </x:c>
      <x:c r="B562" t="str">
        <x:v>JVS-0561</x:v>
      </x:c>
      <x:c r="C562" t="str">
        <x:v>Plat Gigi Susun Per Singgle</x:v>
      </x:c>
      <x:c r="D562" t="str">
        <x:v>Mesin</x:v>
      </x:c>
      <x:c r="E562" t="str"/>
      <x:c r="F562" t="str"/>
      <x:c r="G562" s="12" t="n">
        <x:v>35</x:v>
      </x:c>
      <x:c r="H562" s="12" t="n">
        <x:v>35</x:v>
      </x:c>
      <x:c r="I562" s="12" t="n">
        <x:v>0</x:v>
      </x:c>
      <x:c r="J562" s="16" t="n">
        <x:v>0</x:v>
      </x:c>
      <x:c r="K562" s="14" t="n">
        <x:v>2</x:v>
      </x:c>
      <x:c r="L562" s="14" t="n">
        <x:v>1</x:v>
      </x:c>
      <x:c r="M562" t="str">
        <x:v>READY</x:v>
      </x:c>
      <x:c r="N562" t="str">
        <x:v>AKTIF</x:v>
      </x:c>
      <x:c r="O562" t="str"/>
      <x:c r="P562" t="str"/>
      <x:c r="Q562" t="str"/>
      <x:c r="R562" t="str"/>
      <x:c r="S562" t="str"/>
      <x:c r="T562" t="str"/>
      <x:c r="U562" s="18" t="n">
        <x:v>46134.041666666664</x:v>
      </x:c>
      <x:c r="V562" t="str">
        <x:v>INITIAL_IMPORT</x:v>
      </x:c>
    </x:row>
    <x:row r="563">
      <x:c r="A563" t="str">
        <x:v>PRD-JVS-0562</x:v>
      </x:c>
      <x:c r="B563" t="str">
        <x:v>JVS-0562</x:v>
      </x:c>
      <x:c r="C563" t="str">
        <x:v>Plat lantai Floorboard Dek Bordes hitam vespa Set</x:v>
      </x:c>
      <x:c r="D563" t="str">
        <x:v>Aksesoris</x:v>
      </x:c>
      <x:c r="E563" t="str"/>
      <x:c r="F563" t="str"/>
      <x:c r="G563" s="12" t="n">
        <x:v>150</x:v>
      </x:c>
      <x:c r="H563" s="12" t="n">
        <x:v>150</x:v>
      </x:c>
      <x:c r="I563" s="12" t="n">
        <x:v>0</x:v>
      </x:c>
      <x:c r="J563" s="16" t="n">
        <x:v>0</x:v>
      </x:c>
      <x:c r="K563" s="14" t="n">
        <x:v>1</x:v>
      </x:c>
      <x:c r="L563" s="14" t="n">
        <x:v>1</x:v>
      </x:c>
      <x:c r="M563" t="str">
        <x:v>LOW</x:v>
      </x:c>
      <x:c r="N563" t="str">
        <x:v>AKTIF</x:v>
      </x:c>
      <x:c r="O563" t="str"/>
      <x:c r="P563" t="str"/>
      <x:c r="Q563" t="str"/>
      <x:c r="R563" t="str"/>
      <x:c r="S563" t="str"/>
      <x:c r="T563" t="str"/>
      <x:c r="U563" s="18" t="n">
        <x:v>46134.041666666664</x:v>
      </x:c>
      <x:c r="V563" t="str">
        <x:v>INITIAL_IMPORT</x:v>
      </x:c>
    </x:row>
    <x:row r="564">
      <x:c r="A564" t="str">
        <x:v>PRD-JVS-0563</x:v>
      </x:c>
      <x:c r="B564" t="str">
        <x:v>JVS-0563</x:v>
      </x:c>
      <x:c r="C564" t="str">
        <x:v>Plat Selah Baja Penahan Gear Selah Vespa Super</x:v>
      </x:c>
      <x:c r="D564" t="str">
        <x:v>Mesin</x:v>
      </x:c>
      <x:c r="E564" t="str">
        <x:v>SUPER</x:v>
      </x:c>
      <x:c r="F564" t="str"/>
      <x:c r="G564" s="12" t="n">
        <x:v>15</x:v>
      </x:c>
      <x:c r="H564" s="12" t="n">
        <x:v>15</x:v>
      </x:c>
      <x:c r="I564" s="12" t="n">
        <x:v>0</x:v>
      </x:c>
      <x:c r="J564" s="16" t="n">
        <x:v>0</x:v>
      </x:c>
      <x:c r="K564" s="14" t="n">
        <x:v>5</x:v>
      </x:c>
      <x:c r="L564" s="14" t="n">
        <x:v>1</x:v>
      </x:c>
      <x:c r="M564" t="str">
        <x:v>READY</x:v>
      </x:c>
      <x:c r="N564" t="str">
        <x:v>AKTIF</x:v>
      </x:c>
      <x:c r="O564" t="str"/>
      <x:c r="P564" t="str"/>
      <x:c r="Q564" t="str"/>
      <x:c r="R564" t="str"/>
      <x:c r="S564" t="str"/>
      <x:c r="T564" t="str"/>
      <x:c r="U564" s="18" t="n">
        <x:v>46134.041666666664</x:v>
      </x:c>
      <x:c r="V564" t="str">
        <x:v>INITIAL_IMPORT</x:v>
      </x:c>
    </x:row>
    <x:row r="565">
      <x:c r="A565" t="str">
        <x:v>PRD-JVS-0564</x:v>
      </x:c>
      <x:c r="B565" t="str">
        <x:v>JVS-0564</x:v>
      </x:c>
      <x:c r="C565" t="str">
        <x:v>Platina Vespa Super Biasa</x:v>
      </x:c>
      <x:c r="D565" t="str">
        <x:v>Kelistrikan</x:v>
      </x:c>
      <x:c r="E565" t="str">
        <x:v>SUPER</x:v>
      </x:c>
      <x:c r="F565" t="str"/>
      <x:c r="G565" s="12" t="n">
        <x:v>25</x:v>
      </x:c>
      <x:c r="H565" s="12" t="n">
        <x:v>25</x:v>
      </x:c>
      <x:c r="I565" s="12" t="n">
        <x:v>0</x:v>
      </x:c>
      <x:c r="J565" s="16" t="n">
        <x:v>0</x:v>
      </x:c>
      <x:c r="K565" s="14" t="n">
        <x:v>3</x:v>
      </x:c>
      <x:c r="L565" s="14" t="n">
        <x:v>1</x:v>
      </x:c>
      <x:c r="M565" t="str">
        <x:v>READY</x:v>
      </x:c>
      <x:c r="N565" t="str">
        <x:v>AKTIF</x:v>
      </x:c>
      <x:c r="O565" t="str"/>
      <x:c r="P565" t="str"/>
      <x:c r="Q565" t="str"/>
      <x:c r="R565" t="str"/>
      <x:c r="S565" t="str"/>
      <x:c r="T565" t="str"/>
      <x:c r="U565" s="18" t="n">
        <x:v>46134.041666666664</x:v>
      </x:c>
      <x:c r="V565" t="str">
        <x:v>INITIAL_IMPORT</x:v>
      </x:c>
    </x:row>
    <x:row r="566">
      <x:c r="A566" t="str">
        <x:v>PRD-JVS-0565</x:v>
      </x:c>
      <x:c r="B566" t="str">
        <x:v>JVS-0565</x:v>
      </x:c>
      <x:c r="C566" t="str">
        <x:v>PlatinaVespa PX Danmotor</x:v>
      </x:c>
      <x:c r="D566" t="str">
        <x:v>Kelistrikan</x:v>
      </x:c>
      <x:c r="E566" t="str">
        <x:v>PX</x:v>
      </x:c>
      <x:c r="F566" t="str"/>
      <x:c r="G566" s="12" t="n">
        <x:v>75</x:v>
      </x:c>
      <x:c r="H566" s="12" t="n">
        <x:v>75</x:v>
      </x:c>
      <x:c r="I566" s="12" t="n">
        <x:v>0</x:v>
      </x:c>
      <x:c r="J566" s="16" t="n">
        <x:v>0</x:v>
      </x:c>
      <x:c r="K566" s="14" t="n">
        <x:v>2</x:v>
      </x:c>
      <x:c r="L566" s="14" t="n">
        <x:v>1</x:v>
      </x:c>
      <x:c r="M566" t="str">
        <x:v>READY</x:v>
      </x:c>
      <x:c r="N566" t="str">
        <x:v>AKTIF</x:v>
      </x:c>
      <x:c r="O566" t="str"/>
      <x:c r="P566" t="str"/>
      <x:c r="Q566" t="str"/>
      <x:c r="R566" t="str"/>
      <x:c r="S566" t="str"/>
      <x:c r="T566" t="str"/>
      <x:c r="U566" s="18" t="n">
        <x:v>46134.041666666664</x:v>
      </x:c>
      <x:c r="V566" t="str">
        <x:v>INITIAL_IMPORT</x:v>
      </x:c>
    </x:row>
    <x:row r="567">
      <x:c r="A567" t="str">
        <x:v>PRD-JVS-0566</x:v>
      </x:c>
      <x:c r="B567" t="str">
        <x:v>JVS-0566</x:v>
      </x:c>
      <x:c r="C567" t="str">
        <x:v>PlatinaVespa PX Lokal</x:v>
      </x:c>
      <x:c r="D567" t="str">
        <x:v>Kelistrikan</x:v>
      </x:c>
      <x:c r="E567" t="str">
        <x:v>PX</x:v>
      </x:c>
      <x:c r="F567" t="str"/>
      <x:c r="G567" s="12" t="n">
        <x:v>30</x:v>
      </x:c>
      <x:c r="H567" s="12" t="n">
        <x:v>30</x:v>
      </x:c>
      <x:c r="I567" s="12" t="n">
        <x:v>0</x:v>
      </x:c>
      <x:c r="J567" s="16" t="n">
        <x:v>0</x:v>
      </x:c>
      <x:c r="K567" s="14" t="n">
        <x:v>2</x:v>
      </x:c>
      <x:c r="L567" s="14" t="n">
        <x:v>1</x:v>
      </x:c>
      <x:c r="M567" t="str">
        <x:v>READY</x:v>
      </x:c>
      <x:c r="N567" t="str">
        <x:v>AKTIF</x:v>
      </x:c>
      <x:c r="O567" t="str"/>
      <x:c r="P567" t="str"/>
      <x:c r="Q567" t="str"/>
      <x:c r="R567" t="str"/>
      <x:c r="S567" t="str"/>
      <x:c r="T567" t="str"/>
      <x:c r="U567" s="18" t="n">
        <x:v>46134.041666666664</x:v>
      </x:c>
      <x:c r="V567" t="str">
        <x:v>INITIAL_IMPORT</x:v>
      </x:c>
    </x:row>
    <x:row r="568">
      <x:c r="A568" t="str">
        <x:v>PRD-JVS-0567</x:v>
      </x:c>
      <x:c r="B568" t="str">
        <x:v>JVS-0567</x:v>
      </x:c>
      <x:c r="C568" t="str">
        <x:v>Puli Gas Vespa PX Merk Danmotor</x:v>
      </x:c>
      <x:c r="D568" t="str">
        <x:v>Aksesoris</x:v>
      </x:c>
      <x:c r="E568" t="str">
        <x:v>PX</x:v>
      </x:c>
      <x:c r="F568" t="str"/>
      <x:c r="G568" s="12" t="n">
        <x:v>13</x:v>
      </x:c>
      <x:c r="H568" s="12" t="n">
        <x:v>13</x:v>
      </x:c>
      <x:c r="I568" s="12" t="n">
        <x:v>0</x:v>
      </x:c>
      <x:c r="J568" s="16" t="n">
        <x:v>0</x:v>
      </x:c>
      <x:c r="K568" s="14" t="n">
        <x:v>8</x:v>
      </x:c>
      <x:c r="L568" s="14" t="n">
        <x:v>1</x:v>
      </x:c>
      <x:c r="M568" t="str">
        <x:v>READY</x:v>
      </x:c>
      <x:c r="N568" t="str">
        <x:v>AKTIF</x:v>
      </x:c>
      <x:c r="O568" t="str"/>
      <x:c r="P568" t="str"/>
      <x:c r="Q568" t="str"/>
      <x:c r="R568" t="str"/>
      <x:c r="S568" t="str"/>
      <x:c r="T568" t="str"/>
      <x:c r="U568" s="18" t="n">
        <x:v>46134.041666666664</x:v>
      </x:c>
      <x:c r="V568" t="str">
        <x:v>INITIAL_IMPORT</x:v>
      </x:c>
    </x:row>
    <x:row r="569">
      <x:c r="A569" t="str">
        <x:v>PRD-JVS-0568</x:v>
      </x:c>
      <x:c r="B569" t="str">
        <x:v>JVS-0568</x:v>
      </x:c>
      <x:c r="C569" t="str">
        <x:v>Puli Gas Vespa Super 78 Pendek</x:v>
      </x:c>
      <x:c r="D569" t="str">
        <x:v>Servis</x:v>
      </x:c>
      <x:c r="E569" t="str">
        <x:v>SUPER</x:v>
      </x:c>
      <x:c r="F569" t="str"/>
      <x:c r="G569" s="12" t="n">
        <x:v>23</x:v>
      </x:c>
      <x:c r="H569" s="12" t="n">
        <x:v>23</x:v>
      </x:c>
      <x:c r="I569" s="12" t="n">
        <x:v>0</x:v>
      </x:c>
      <x:c r="J569" s="16" t="n">
        <x:v>0</x:v>
      </x:c>
      <x:c r="K569" s="14" t="n">
        <x:v>2</x:v>
      </x:c>
      <x:c r="L569" s="14" t="n">
        <x:v>1</x:v>
      </x:c>
      <x:c r="M569" t="str">
        <x:v>READY</x:v>
      </x:c>
      <x:c r="N569" t="str">
        <x:v>AKTIF</x:v>
      </x:c>
      <x:c r="O569" t="str"/>
      <x:c r="P569" t="str"/>
      <x:c r="Q569" t="str"/>
      <x:c r="R569" t="str"/>
      <x:c r="S569" t="str"/>
      <x:c r="T569" t="str"/>
      <x:c r="U569" s="18" t="n">
        <x:v>46134.041666666664</x:v>
      </x:c>
      <x:c r="V569" t="str">
        <x:v>INITIAL_IMPORT</x:v>
      </x:c>
    </x:row>
    <x:row r="570">
      <x:c r="A570" t="str">
        <x:v>PRD-JVS-0569</x:v>
      </x:c>
      <x:c r="B570" t="str">
        <x:v>JVS-0569</x:v>
      </x:c>
      <x:c r="C570" t="str">
        <x:v>Puli Gas Vespa Super lama Panjang</x:v>
      </x:c>
      <x:c r="D570" t="str">
        <x:v>Servis</x:v>
      </x:c>
      <x:c r="E570" t="str">
        <x:v>SUPER</x:v>
      </x:c>
      <x:c r="F570" t="str"/>
      <x:c r="G570" s="12" t="n">
        <x:v>25</x:v>
      </x:c>
      <x:c r="H570" s="12" t="n">
        <x:v>25</x:v>
      </x:c>
      <x:c r="I570" s="12" t="n">
        <x:v>0</x:v>
      </x:c>
      <x:c r="J570" s="16" t="n">
        <x:v>0</x:v>
      </x:c>
      <x:c r="K570" s="14" t="n">
        <x:v>3</x:v>
      </x:c>
      <x:c r="L570" s="14" t="n">
        <x:v>1</x:v>
      </x:c>
      <x:c r="M570" t="str">
        <x:v>READY</x:v>
      </x:c>
      <x:c r="N570" t="str">
        <x:v>AKTIF</x:v>
      </x:c>
      <x:c r="O570" t="str"/>
      <x:c r="P570" t="str"/>
      <x:c r="Q570" t="str"/>
      <x:c r="R570" t="str"/>
      <x:c r="S570" t="str"/>
      <x:c r="T570" t="str"/>
      <x:c r="U570" s="18" t="n">
        <x:v>46134.041666666664</x:v>
      </x:c>
      <x:c r="V570" t="str">
        <x:v>INITIAL_IMPORT</x:v>
      </x:c>
    </x:row>
    <x:row r="571">
      <x:c r="A571" t="str">
        <x:v>PRD-JVS-0570</x:v>
      </x:c>
      <x:c r="B571" t="str">
        <x:v>JVS-0570</x:v>
      </x:c>
      <x:c r="C571" t="str">
        <x:v>Puli Gas Vespa VBB</x:v>
      </x:c>
      <x:c r="D571" t="str">
        <x:v>Aksesoris</x:v>
      </x:c>
      <x:c r="E571" t="str">
        <x:v>VBB</x:v>
      </x:c>
      <x:c r="F571" t="str"/>
      <x:c r="G571" s="12" t="n">
        <x:v>20</x:v>
      </x:c>
      <x:c r="H571" s="12" t="n">
        <x:v>20</x:v>
      </x:c>
      <x:c r="I571" s="12" t="n">
        <x:v>0</x:v>
      </x:c>
      <x:c r="J571" s="16" t="n">
        <x:v>0</x:v>
      </x:c>
      <x:c r="K571" s="14" t="n">
        <x:v>1</x:v>
      </x:c>
      <x:c r="L571" s="14" t="n">
        <x:v>1</x:v>
      </x:c>
      <x:c r="M571" t="str">
        <x:v>LOW</x:v>
      </x:c>
      <x:c r="N571" t="str">
        <x:v>AKTIF</x:v>
      </x:c>
      <x:c r="O571" t="str"/>
      <x:c r="P571" t="str"/>
      <x:c r="Q571" t="str"/>
      <x:c r="R571" t="str"/>
      <x:c r="S571" t="str"/>
      <x:c r="T571" t="str"/>
      <x:c r="U571" s="18" t="n">
        <x:v>46134.041666666664</x:v>
      </x:c>
      <x:c r="V571" t="str">
        <x:v>INITIAL_IMPORT</x:v>
      </x:c>
    </x:row>
    <x:row r="572">
      <x:c r="A572" t="str">
        <x:v>PRD-JVS-0571</x:v>
      </x:c>
      <x:c r="B572" t="str">
        <x:v>JVS-0571</x:v>
      </x:c>
      <x:c r="C572" t="str">
        <x:v>Puli Gigi Perseneling Vespa PX Merk Danmotor</x:v>
      </x:c>
      <x:c r="D572" t="str">
        <x:v>Mesin</x:v>
      </x:c>
      <x:c r="E572" t="str">
        <x:v>PX</x:v>
      </x:c>
      <x:c r="F572" t="str"/>
      <x:c r="G572" s="12" t="n">
        <x:v>15</x:v>
      </x:c>
      <x:c r="H572" s="12" t="n">
        <x:v>15</x:v>
      </x:c>
      <x:c r="I572" s="12" t="n">
        <x:v>0</x:v>
      </x:c>
      <x:c r="J572" s="16" t="n">
        <x:v>0</x:v>
      </x:c>
      <x:c r="K572" s="14" t="n">
        <x:v>2</x:v>
      </x:c>
      <x:c r="L572" s="14" t="n">
        <x:v>1</x:v>
      </x:c>
      <x:c r="M572" t="str">
        <x:v>READY</x:v>
      </x:c>
      <x:c r="N572" t="str">
        <x:v>AKTIF</x:v>
      </x:c>
      <x:c r="O572" t="str"/>
      <x:c r="P572" t="str"/>
      <x:c r="Q572" t="str"/>
      <x:c r="R572" t="str"/>
      <x:c r="S572" t="str"/>
      <x:c r="T572" t="str"/>
      <x:c r="U572" s="18" t="n">
        <x:v>46134.041666666664</x:v>
      </x:c>
      <x:c r="V572" t="str">
        <x:v>INITIAL_IMPORT</x:v>
      </x:c>
    </x:row>
    <x:row r="573">
      <x:c r="A573" t="str">
        <x:v>PRD-JVS-0572</x:v>
      </x:c>
      <x:c r="B573" t="str">
        <x:v>JVS-0572</x:v>
      </x:c>
      <x:c r="C573" t="str">
        <x:v>Puli Gigi Vespa Super 78 Pendek</x:v>
      </x:c>
      <x:c r="D573" t="str">
        <x:v>Mesin</x:v>
      </x:c>
      <x:c r="E573" t="str">
        <x:v>SUPER</x:v>
      </x:c>
      <x:c r="F573" t="str"/>
      <x:c r="G573" s="12" t="n">
        <x:v>23</x:v>
      </x:c>
      <x:c r="H573" s="12" t="n">
        <x:v>23</x:v>
      </x:c>
      <x:c r="I573" s="12" t="n">
        <x:v>0</x:v>
      </x:c>
      <x:c r="J573" s="16" t="n">
        <x:v>0</x:v>
      </x:c>
      <x:c r="K573" s="14" t="n">
        <x:v>2</x:v>
      </x:c>
      <x:c r="L573" s="14" t="n">
        <x:v>1</x:v>
      </x:c>
      <x:c r="M573" t="str">
        <x:v>READY</x:v>
      </x:c>
      <x:c r="N573" t="str">
        <x:v>AKTIF</x:v>
      </x:c>
      <x:c r="O573" t="str"/>
      <x:c r="P573" t="str"/>
      <x:c r="Q573" t="str"/>
      <x:c r="R573" t="str"/>
      <x:c r="S573" t="str"/>
      <x:c r="T573" t="str"/>
      <x:c r="U573" s="18" t="n">
        <x:v>46134.041666666664</x:v>
      </x:c>
      <x:c r="V573" t="str">
        <x:v>INITIAL_IMPORT</x:v>
      </x:c>
    </x:row>
    <x:row r="574">
      <x:c r="A574" t="str">
        <x:v>PRD-JVS-0573</x:v>
      </x:c>
      <x:c r="B574" t="str">
        <x:v>JVS-0573</x:v>
      </x:c>
      <x:c r="C574" t="str">
        <x:v>Puli Gigi Vespa Super lama Panjang</x:v>
      </x:c>
      <x:c r="D574" t="str">
        <x:v>Mesin</x:v>
      </x:c>
      <x:c r="E574" t="str">
        <x:v>SUPER</x:v>
      </x:c>
      <x:c r="F574" t="str"/>
      <x:c r="G574" s="12" t="n">
        <x:v>25</x:v>
      </x:c>
      <x:c r="H574" s="12" t="n">
        <x:v>25</x:v>
      </x:c>
      <x:c r="I574" s="12" t="n">
        <x:v>0</x:v>
      </x:c>
      <x:c r="J574" s="16" t="n">
        <x:v>0</x:v>
      </x:c>
      <x:c r="K574" s="14" t="n">
        <x:v>4</x:v>
      </x:c>
      <x:c r="L574" s="14" t="n">
        <x:v>1</x:v>
      </x:c>
      <x:c r="M574" t="str">
        <x:v>READY</x:v>
      </x:c>
      <x:c r="N574" t="str">
        <x:v>AKTIF</x:v>
      </x:c>
      <x:c r="O574" t="str"/>
      <x:c r="P574" t="str"/>
      <x:c r="Q574" t="str"/>
      <x:c r="R574" t="str"/>
      <x:c r="S574" t="str"/>
      <x:c r="T574" t="str"/>
      <x:c r="U574" s="18" t="n">
        <x:v>46134.041666666664</x:v>
      </x:c>
      <x:c r="V574" t="str">
        <x:v>INITIAL_IMPORT</x:v>
      </x:c>
    </x:row>
    <x:row r="575">
      <x:c r="A575" t="str">
        <x:v>PRD-JVS-0574</x:v>
      </x:c>
      <x:c r="B575" t="str">
        <x:v>JVS-0574</x:v>
      </x:c>
      <x:c r="C575" t="str">
        <x:v>Puli Gigi Vespa VBB</x:v>
      </x:c>
      <x:c r="D575" t="str">
        <x:v>Mesin</x:v>
      </x:c>
      <x:c r="E575" t="str">
        <x:v>VBB</x:v>
      </x:c>
      <x:c r="F575" t="str"/>
      <x:c r="G575" s="12" t="n">
        <x:v>20</x:v>
      </x:c>
      <x:c r="H575" s="12" t="n">
        <x:v>20</x:v>
      </x:c>
      <x:c r="I575" s="12" t="n">
        <x:v>0</x:v>
      </x:c>
      <x:c r="J575" s="16" t="n">
        <x:v>0</x:v>
      </x:c>
      <x:c r="K575" s="14" t="n">
        <x:v>1</x:v>
      </x:c>
      <x:c r="L575" s="14" t="n">
        <x:v>1</x:v>
      </x:c>
      <x:c r="M575" t="str">
        <x:v>LOW</x:v>
      </x:c>
      <x:c r="N575" t="str">
        <x:v>AKTIF</x:v>
      </x:c>
      <x:c r="O575" t="str"/>
      <x:c r="P575" t="str"/>
      <x:c r="Q575" t="str"/>
      <x:c r="R575" t="str"/>
      <x:c r="S575" t="str"/>
      <x:c r="T575" t="str"/>
      <x:c r="U575" s="18" t="n">
        <x:v>46134.041666666664</x:v>
      </x:c>
      <x:c r="V575" t="str">
        <x:v>INITIAL_IMPORT</x:v>
      </x:c>
    </x:row>
    <x:row r="576">
      <x:c r="A576" t="str">
        <x:v>PRD-JVS-0575</x:v>
      </x:c>
      <x:c r="B576" t="str">
        <x:v>JVS-0575</x:v>
      </x:c>
      <x:c r="C576" t="str">
        <x:v>Rak Tengah dudukan Ban Serep Vespa PS</x:v>
      </x:c>
      <x:c r="D576" t="str">
        <x:v>Kaki-Kaki</x:v>
      </x:c>
      <x:c r="E576" t="str">
        <x:v>PS</x:v>
      </x:c>
      <x:c r="F576" t="str"/>
      <x:c r="G576" s="12" t="str"/>
      <x:c r="H576" s="12" t="str"/>
      <x:c r="I576" s="12" t="str"/>
      <x:c r="J576" s="16" t="str"/>
      <x:c r="K576" s="14" t="n">
        <x:v>2</x:v>
      </x:c>
      <x:c r="L576" s="14" t="n">
        <x:v>1</x:v>
      </x:c>
      <x:c r="M576" t="str">
        <x:v>READY</x:v>
      </x:c>
      <x:c r="N576" t="str">
        <x:v>AKTIF</x:v>
      </x:c>
      <x:c r="O576" t="str"/>
      <x:c r="P576" t="str"/>
      <x:c r="Q576" t="str"/>
      <x:c r="R576" t="str"/>
      <x:c r="S576" t="str"/>
      <x:c r="T576" t="str"/>
      <x:c r="U576" s="18" t="n">
        <x:v>46134.041666666664</x:v>
      </x:c>
      <x:c r="V576" t="str">
        <x:v>INITIAL_IMPORT</x:v>
      </x:c>
    </x:row>
    <x:row r="577">
      <x:c r="A577" t="str">
        <x:v>PRD-JVS-0576</x:v>
      </x:c>
      <x:c r="B577" t="str">
        <x:v>JVS-0576</x:v>
      </x:c>
      <x:c r="C577" t="str">
        <x:v>Reflektor Headlamp PTS Vespa Reflektor PTS Import</x:v>
      </x:c>
      <x:c r="D577" t="str">
        <x:v>Mesin</x:v>
      </x:c>
      <x:c r="E577" t="str">
        <x:v>PTS</x:v>
      </x:c>
      <x:c r="F577" t="str"/>
      <x:c r="G577" s="12" t="str"/>
      <x:c r="H577" s="12" t="str"/>
      <x:c r="I577" s="12" t="str"/>
      <x:c r="J577" s="16" t="str"/>
      <x:c r="K577" s="14" t="n">
        <x:v>2</x:v>
      </x:c>
      <x:c r="L577" s="14" t="n">
        <x:v>1</x:v>
      </x:c>
      <x:c r="M577" t="str">
        <x:v>READY</x:v>
      </x:c>
      <x:c r="N577" t="str">
        <x:v>AKTIF</x:v>
      </x:c>
      <x:c r="O577" t="str"/>
      <x:c r="P577" t="str"/>
      <x:c r="Q577" t="str"/>
      <x:c r="R577" t="str"/>
      <x:c r="S577" t="str"/>
      <x:c r="T577" t="str"/>
      <x:c r="U577" s="18" t="n">
        <x:v>46134.041666666664</x:v>
      </x:c>
      <x:c r="V577" t="str">
        <x:v>INITIAL_IMPORT</x:v>
      </x:c>
    </x:row>
    <x:row r="578">
      <x:c r="A578" t="str">
        <x:v>PRD-JVS-0577</x:v>
      </x:c>
      <x:c r="B578" t="str">
        <x:v>JVS-0577</x:v>
      </x:c>
      <x:c r="C578" t="str">
        <x:v>Reflektor Headlamp VBB Import</x:v>
      </x:c>
      <x:c r="D578" t="str">
        <x:v>Mesin</x:v>
      </x:c>
      <x:c r="E578" t="str">
        <x:v>VBB</x:v>
      </x:c>
      <x:c r="F578" t="str"/>
      <x:c r="G578" s="12" t="n">
        <x:v>135</x:v>
      </x:c>
      <x:c r="H578" s="12" t="n">
        <x:v>135</x:v>
      </x:c>
      <x:c r="I578" s="12" t="n">
        <x:v>0</x:v>
      </x:c>
      <x:c r="J578" s="16" t="n">
        <x:v>0</x:v>
      </x:c>
      <x:c r="K578" s="14" t="n">
        <x:v>1</x:v>
      </x:c>
      <x:c r="L578" s="14" t="n">
        <x:v>1</x:v>
      </x:c>
      <x:c r="M578" t="str">
        <x:v>LOW</x:v>
      </x:c>
      <x:c r="N578" t="str">
        <x:v>AKTIF</x:v>
      </x:c>
      <x:c r="O578" t="str"/>
      <x:c r="P578" t="str"/>
      <x:c r="Q578" t="str"/>
      <x:c r="R578" t="str"/>
      <x:c r="S578" t="str"/>
      <x:c r="T578" t="str"/>
      <x:c r="U578" s="18" t="n">
        <x:v>46134.041666666664</x:v>
      </x:c>
      <x:c r="V578" t="str">
        <x:v>INITIAL_IMPORT</x:v>
      </x:c>
    </x:row>
    <x:row r="579">
      <x:c r="A579" t="str">
        <x:v>PRD-JVS-0578</x:v>
      </x:c>
      <x:c r="B579" t="str">
        <x:v>JVS-0578</x:v>
      </x:c>
      <x:c r="C579" t="str">
        <x:v>Reflektor PS TV ELMA</x:v>
      </x:c>
      <x:c r="D579" t="str">
        <x:v>Aksesoris</x:v>
      </x:c>
      <x:c r="E579" t="str">
        <x:v>PS</x:v>
      </x:c>
      <x:c r="F579" t="str"/>
      <x:c r="G579" s="12" t="n">
        <x:v>200</x:v>
      </x:c>
      <x:c r="H579" s="12" t="n">
        <x:v>200</x:v>
      </x:c>
      <x:c r="I579" s="12" t="n">
        <x:v>0</x:v>
      </x:c>
      <x:c r="J579" s="16" t="n">
        <x:v>0</x:v>
      </x:c>
      <x:c r="K579" s="14" t="n">
        <x:v>1</x:v>
      </x:c>
      <x:c r="L579" s="14" t="n">
        <x:v>1</x:v>
      </x:c>
      <x:c r="M579" t="str">
        <x:v>LOW</x:v>
      </x:c>
      <x:c r="N579" t="str">
        <x:v>AKTIF</x:v>
      </x:c>
      <x:c r="O579" t="str"/>
      <x:c r="P579" t="str"/>
      <x:c r="Q579" t="str"/>
      <x:c r="R579" t="str"/>
      <x:c r="S579" t="str"/>
      <x:c r="T579" t="str"/>
      <x:c r="U579" s="18" t="n">
        <x:v>46134.041666666664</x:v>
      </x:c>
      <x:c r="V579" t="str">
        <x:v>INITIAL_IMPORT</x:v>
      </x:c>
    </x:row>
    <x:row r="580">
      <x:c r="A580" t="str">
        <x:v>PRD-JVS-0579</x:v>
      </x:c>
      <x:c r="B580" t="str">
        <x:v>JVS-0579</x:v>
      </x:c>
      <x:c r="C580" t="str">
        <x:v>Reflektor Super 66 Lampu Depan Bulat</x:v>
      </x:c>
      <x:c r="D580" t="str">
        <x:v>Kelistrikan</x:v>
      </x:c>
      <x:c r="E580" t="str">
        <x:v>SUPER</x:v>
      </x:c>
      <x:c r="F580" t="str"/>
      <x:c r="G580" s="12" t="n">
        <x:v>230</x:v>
      </x:c>
      <x:c r="H580" s="12" t="n">
        <x:v>230</x:v>
      </x:c>
      <x:c r="I580" s="12" t="n">
        <x:v>0</x:v>
      </x:c>
      <x:c r="J580" s="16" t="n">
        <x:v>0</x:v>
      </x:c>
      <x:c r="K580" s="14" t="n">
        <x:v>1</x:v>
      </x:c>
      <x:c r="L580" s="14" t="n">
        <x:v>1</x:v>
      </x:c>
      <x:c r="M580" t="str">
        <x:v>LOW</x:v>
      </x:c>
      <x:c r="N580" t="str">
        <x:v>AKTIF</x:v>
      </x:c>
      <x:c r="O580" t="str"/>
      <x:c r="P580" t="str"/>
      <x:c r="Q580" t="str"/>
      <x:c r="R580" t="str"/>
      <x:c r="S580" t="str"/>
      <x:c r="T580" t="str"/>
      <x:c r="U580" s="18" t="n">
        <x:v>46134.041666666664</x:v>
      </x:c>
      <x:c r="V580" t="str">
        <x:v>INITIAL_IMPORT</x:v>
      </x:c>
    </x:row>
    <x:row r="581">
      <x:c r="A581" t="str">
        <x:v>PRD-JVS-0580</x:v>
      </x:c>
      <x:c r="B581" t="str">
        <x:v>JVS-0580</x:v>
      </x:c>
      <x:c r="C581" t="str">
        <x:v>Reflektor Vespa Excel Biasa</x:v>
      </x:c>
      <x:c r="D581" t="str">
        <x:v>Aksesoris</x:v>
      </x:c>
      <x:c r="E581" t="str">
        <x:v>EXCEL</x:v>
      </x:c>
      <x:c r="F581" t="str"/>
      <x:c r="G581" s="12" t="n">
        <x:v>120</x:v>
      </x:c>
      <x:c r="H581" s="12" t="n">
        <x:v>120</x:v>
      </x:c>
      <x:c r="I581" s="12" t="n">
        <x:v>0</x:v>
      </x:c>
      <x:c r="J581" s="16" t="n">
        <x:v>0</x:v>
      </x:c>
      <x:c r="K581" s="14" t="n">
        <x:v>1</x:v>
      </x:c>
      <x:c r="L581" s="14" t="n">
        <x:v>1</x:v>
      </x:c>
      <x:c r="M581" t="str">
        <x:v>LOW</x:v>
      </x:c>
      <x:c r="N581" t="str">
        <x:v>AKTIF</x:v>
      </x:c>
      <x:c r="O581" t="str"/>
      <x:c r="P581" t="str"/>
      <x:c r="Q581" t="str"/>
      <x:c r="R581" t="str"/>
      <x:c r="S581" t="str"/>
      <x:c r="T581" t="str"/>
      <x:c r="U581" s="18" t="n">
        <x:v>46134.041666666664</x:v>
      </x:c>
      <x:c r="V581" t="str">
        <x:v>INITIAL_IMPORT</x:v>
      </x:c>
    </x:row>
    <x:row r="582">
      <x:c r="A582" t="str">
        <x:v>PRD-JVS-0581</x:v>
      </x:c>
      <x:c r="B582" t="str">
        <x:v>JVS-0581</x:v>
      </x:c>
      <x:c r="C582" t="str">
        <x:v>Reflektor Vespa PX PXE Strada Spartan ELMA</x:v>
      </x:c>
      <x:c r="D582" t="str">
        <x:v>Aksesoris</x:v>
      </x:c>
      <x:c r="E582" t="str">
        <x:v>PXE, PX, STRADA, SPARTAN</x:v>
      </x:c>
      <x:c r="F582" t="str"/>
      <x:c r="G582" s="12" t="n">
        <x:v>200</x:v>
      </x:c>
      <x:c r="H582" s="12" t="n">
        <x:v>200</x:v>
      </x:c>
      <x:c r="I582" s="12" t="n">
        <x:v>0</x:v>
      </x:c>
      <x:c r="J582" s="16" t="n">
        <x:v>0</x:v>
      </x:c>
      <x:c r="K582" s="14" t="n">
        <x:v>2</x:v>
      </x:c>
      <x:c r="L582" s="14" t="n">
        <x:v>1</x:v>
      </x:c>
      <x:c r="M582" t="str">
        <x:v>READY</x:v>
      </x:c>
      <x:c r="N582" t="str">
        <x:v>AKTIF</x:v>
      </x:c>
      <x:c r="O582" t="str"/>
      <x:c r="P582" t="str"/>
      <x:c r="Q582" t="str"/>
      <x:c r="R582" t="str"/>
      <x:c r="S582" t="str"/>
      <x:c r="T582" t="str"/>
      <x:c r="U582" s="18" t="n">
        <x:v>46134.041666666664</x:v>
      </x:c>
      <x:c r="V582" t="str">
        <x:v>INITIAL_IMPORT</x:v>
      </x:c>
    </x:row>
    <x:row r="583">
      <x:c r="A583" t="str">
        <x:v>PRD-JVS-0582</x:v>
      </x:c>
      <x:c r="B583" t="str">
        <x:v>JVS-0582</x:v>
      </x:c>
      <x:c r="C583" t="str">
        <x:v>Rel Lis Triplang Lantai Vespa PTS Set tanpa Karet Lokal</x:v>
      </x:c>
      <x:c r="D583" t="str">
        <x:v>Servis</x:v>
      </x:c>
      <x:c r="E583" t="str">
        <x:v>PTS</x:v>
      </x:c>
      <x:c r="F583" t="str"/>
      <x:c r="G583" s="12" t="n">
        <x:v>45</x:v>
      </x:c>
      <x:c r="H583" s="12" t="n">
        <x:v>45</x:v>
      </x:c>
      <x:c r="I583" s="12" t="n">
        <x:v>0</x:v>
      </x:c>
      <x:c r="J583" s="16" t="n">
        <x:v>0</x:v>
      </x:c>
      <x:c r="K583" s="14" t="n">
        <x:v>2</x:v>
      </x:c>
      <x:c r="L583" s="14" t="n">
        <x:v>1</x:v>
      </x:c>
      <x:c r="M583" t="str">
        <x:v>READY</x:v>
      </x:c>
      <x:c r="N583" t="str">
        <x:v>AKTIF</x:v>
      </x:c>
      <x:c r="O583" t="str"/>
      <x:c r="P583" t="str"/>
      <x:c r="Q583" t="str"/>
      <x:c r="R583" t="str"/>
      <x:c r="S583" t="str"/>
      <x:c r="T583" t="str"/>
      <x:c r="U583" s="18" t="n">
        <x:v>46134.041666666664</x:v>
      </x:c>
      <x:c r="V583" t="str">
        <x:v>INITIAL_IMPORT</x:v>
      </x:c>
    </x:row>
    <x:row r="584">
      <x:c r="A584" t="str">
        <x:v>PRD-JVS-0583</x:v>
      </x:c>
      <x:c r="B584" t="str">
        <x:v>JVS-0583</x:v>
      </x:c>
      <x:c r="C584" t="str">
        <x:v>Rel Lis Triplang Lantai Vespa PX PS Set tanpa Karet</x:v>
      </x:c>
      <x:c r="D584" t="str">
        <x:v>Servis</x:v>
      </x:c>
      <x:c r="E584" t="str">
        <x:v>PX, PS</x:v>
      </x:c>
      <x:c r="F584" t="str"/>
      <x:c r="G584" s="12" t="n">
        <x:v>45</x:v>
      </x:c>
      <x:c r="H584" s="12" t="n">
        <x:v>45</x:v>
      </x:c>
      <x:c r="I584" s="12" t="n">
        <x:v>0</x:v>
      </x:c>
      <x:c r="J584" s="16" t="n">
        <x:v>0</x:v>
      </x:c>
      <x:c r="K584" s="14" t="n">
        <x:v>3</x:v>
      </x:c>
      <x:c r="L584" s="14" t="n">
        <x:v>1</x:v>
      </x:c>
      <x:c r="M584" t="str">
        <x:v>READY</x:v>
      </x:c>
      <x:c r="N584" t="str">
        <x:v>AKTIF</x:v>
      </x:c>
      <x:c r="O584" t="str"/>
      <x:c r="P584" t="str"/>
      <x:c r="Q584" t="str"/>
      <x:c r="R584" t="str"/>
      <x:c r="S584" t="str"/>
      <x:c r="T584" t="str"/>
      <x:c r="U584" s="18" t="n">
        <x:v>46134.041666666664</x:v>
      </x:c>
      <x:c r="V584" t="str">
        <x:v>INITIAL_IMPORT</x:v>
      </x:c>
    </x:row>
    <x:row r="585">
      <x:c r="A585" t="str">
        <x:v>PRD-JVS-0584</x:v>
      </x:c>
      <x:c r="B585" t="str">
        <x:v>JVS-0584</x:v>
      </x:c>
      <x:c r="C585" t="str">
        <x:v>Rel Lis Triplang Lantai Vespa Super Set tanpa Karet Lokal</x:v>
      </x:c>
      <x:c r="D585" t="str">
        <x:v>Servis</x:v>
      </x:c>
      <x:c r="E585" t="str">
        <x:v>SUPER</x:v>
      </x:c>
      <x:c r="F585" t="str"/>
      <x:c r="G585" s="12" t="n">
        <x:v>45</x:v>
      </x:c>
      <x:c r="H585" s="12" t="n">
        <x:v>45</x:v>
      </x:c>
      <x:c r="I585" s="12" t="n">
        <x:v>0</x:v>
      </x:c>
      <x:c r="J585" s="16" t="n">
        <x:v>0</x:v>
      </x:c>
      <x:c r="K585" s="14" t="n">
        <x:v>2</x:v>
      </x:c>
      <x:c r="L585" s="14" t="n">
        <x:v>1</x:v>
      </x:c>
      <x:c r="M585" t="str">
        <x:v>READY</x:v>
      </x:c>
      <x:c r="N585" t="str">
        <x:v>AKTIF</x:v>
      </x:c>
      <x:c r="O585" t="str"/>
      <x:c r="P585" t="str"/>
      <x:c r="Q585" t="str"/>
      <x:c r="R585" t="str"/>
      <x:c r="S585" t="str"/>
      <x:c r="T585" t="str"/>
      <x:c r="U585" s="18" t="n">
        <x:v>46134.041666666664</x:v>
      </x:c>
      <x:c r="V585" t="str">
        <x:v>INITIAL_IMPORT</x:v>
      </x:c>
    </x:row>
    <x:row r="586">
      <x:c r="A586" t="str">
        <x:v>PRD-JVS-0585</x:v>
      </x:c>
      <x:c r="B586" t="str">
        <x:v>JVS-0585</x:v>
      </x:c>
      <x:c r="C586" t="str">
        <x:v>Relay kaki 4</x:v>
      </x:c>
      <x:c r="D586" t="str">
        <x:v>Kelistrikan</x:v>
      </x:c>
      <x:c r="E586" t="str"/>
      <x:c r="F586" t="str"/>
      <x:c r="G586" s="12" t="n">
        <x:v>12</x:v>
      </x:c>
      <x:c r="H586" s="12" t="n">
        <x:v>12</x:v>
      </x:c>
      <x:c r="I586" s="12" t="n">
        <x:v>0</x:v>
      </x:c>
      <x:c r="J586" s="16" t="n">
        <x:v>0</x:v>
      </x:c>
      <x:c r="K586" s="14" t="n">
        <x:v>4</x:v>
      </x:c>
      <x:c r="L586" s="14" t="n">
        <x:v>1</x:v>
      </x:c>
      <x:c r="M586" t="str">
        <x:v>READY</x:v>
      </x:c>
      <x:c r="N586" t="str">
        <x:v>AKTIF</x:v>
      </x:c>
      <x:c r="O586" t="str"/>
      <x:c r="P586" t="str"/>
      <x:c r="Q586" t="str"/>
      <x:c r="R586" t="str"/>
      <x:c r="S586" t="str"/>
      <x:c r="T586" t="str"/>
      <x:c r="U586" s="18" t="n">
        <x:v>46134.041666666664</x:v>
      </x:c>
      <x:c r="V586" t="str">
        <x:v>INITIAL_IMPORT</x:v>
      </x:c>
    </x:row>
    <x:row r="587">
      <x:c r="A587" t="str">
        <x:v>PRD-JVS-0586</x:v>
      </x:c>
      <x:c r="B587" t="str">
        <x:v>JVS-0586</x:v>
      </x:c>
      <x:c r="C587" t="str">
        <x:v>Repair Kit Karburator Vespa PX</x:v>
      </x:c>
      <x:c r="D587" t="str">
        <x:v>Mesin</x:v>
      </x:c>
      <x:c r="E587" t="str">
        <x:v>PX</x:v>
      </x:c>
      <x:c r="F587" t="str"/>
      <x:c r="G587" s="12" t="n">
        <x:v>50</x:v>
      </x:c>
      <x:c r="H587" s="12" t="n">
        <x:v>50</x:v>
      </x:c>
      <x:c r="I587" s="12" t="n">
        <x:v>0</x:v>
      </x:c>
      <x:c r="J587" s="16" t="n">
        <x:v>0</x:v>
      </x:c>
      <x:c r="K587" s="14" t="n">
        <x:v>1</x:v>
      </x:c>
      <x:c r="L587" s="14" t="n">
        <x:v>1</x:v>
      </x:c>
      <x:c r="M587" t="str">
        <x:v>LOW</x:v>
      </x:c>
      <x:c r="N587" t="str">
        <x:v>AKTIF</x:v>
      </x:c>
      <x:c r="O587" t="str"/>
      <x:c r="P587" t="str"/>
      <x:c r="Q587" t="str"/>
      <x:c r="R587" t="str"/>
      <x:c r="S587" t="str"/>
      <x:c r="T587" t="str"/>
      <x:c r="U587" s="18" t="n">
        <x:v>46134.041666666664</x:v>
      </x:c>
      <x:c r="V587" t="str">
        <x:v>INITIAL_IMPORT</x:v>
      </x:c>
    </x:row>
    <x:row r="588">
      <x:c r="A588" t="str">
        <x:v>PRD-JVS-0587</x:v>
      </x:c>
      <x:c r="B588" t="str">
        <x:v>JVS-0587</x:v>
      </x:c>
      <x:c r="C588" t="str">
        <x:v>Repair Kit Karburator Vespa PXE Excel Import</x:v>
      </x:c>
      <x:c r="D588" t="str">
        <x:v>Mesin</x:v>
      </x:c>
      <x:c r="E588" t="str">
        <x:v>EXCEL, PXE, PX</x:v>
      </x:c>
      <x:c r="F588" t="str"/>
      <x:c r="G588" s="12" t="n">
        <x:v>48</x:v>
      </x:c>
      <x:c r="H588" s="12" t="n">
        <x:v>48</x:v>
      </x:c>
      <x:c r="I588" s="12" t="n">
        <x:v>0</x:v>
      </x:c>
      <x:c r="J588" s="16" t="n">
        <x:v>0</x:v>
      </x:c>
      <x:c r="K588" s="14" t="n">
        <x:v>1</x:v>
      </x:c>
      <x:c r="L588" s="14" t="n">
        <x:v>1</x:v>
      </x:c>
      <x:c r="M588" t="str">
        <x:v>LOW</x:v>
      </x:c>
      <x:c r="N588" t="str">
        <x:v>AKTIF</x:v>
      </x:c>
      <x:c r="O588" t="str"/>
      <x:c r="P588" t="str"/>
      <x:c r="Q588" t="str"/>
      <x:c r="R588" t="str"/>
      <x:c r="S588" t="str"/>
      <x:c r="T588" t="str"/>
      <x:c r="U588" s="18" t="n">
        <x:v>46134.041666666664</x:v>
      </x:c>
      <x:c r="V588" t="str">
        <x:v>INITIAL_IMPORT</x:v>
      </x:c>
    </x:row>
    <x:row r="589">
      <x:c r="A589" t="str">
        <x:v>PRD-JVS-0588</x:v>
      </x:c>
      <x:c r="B589" t="str">
        <x:v>JVS-0588</x:v>
      </x:c>
      <x:c r="C589" t="str">
        <x:v>Repair Kit Karburator Vespa Spartan 200cc</x:v>
      </x:c>
      <x:c r="D589" t="str">
        <x:v>Mesin</x:v>
      </x:c>
      <x:c r="E589" t="str">
        <x:v>SPARTAN</x:v>
      </x:c>
      <x:c r="F589" t="str"/>
      <x:c r="G589" s="12" t="n">
        <x:v>50</x:v>
      </x:c>
      <x:c r="H589" s="12" t="n">
        <x:v>50</x:v>
      </x:c>
      <x:c r="I589" s="12" t="n">
        <x:v>0</x:v>
      </x:c>
      <x:c r="J589" s="16" t="n">
        <x:v>0</x:v>
      </x:c>
      <x:c r="K589" s="14" t="n">
        <x:v>0</x:v>
      </x:c>
      <x:c r="L589" s="14" t="n">
        <x:v>1</x:v>
      </x:c>
      <x:c r="M589" t="str">
        <x:v>OUT OF STOCK</x:v>
      </x:c>
      <x:c r="N589" t="str">
        <x:v>AKTIF</x:v>
      </x:c>
      <x:c r="O589" t="str"/>
      <x:c r="P589" t="str"/>
      <x:c r="Q589" t="str"/>
      <x:c r="R589" t="str"/>
      <x:c r="S589" t="str"/>
      <x:c r="T589" t="str"/>
      <x:c r="U589" s="18" t="n">
        <x:v>46134.041666666664</x:v>
      </x:c>
      <x:c r="V589" t="str">
        <x:v>INITIAL_IMPORT</x:v>
      </x:c>
    </x:row>
    <x:row r="590">
      <x:c r="A590" t="str">
        <x:v>PRD-JVS-0589</x:v>
      </x:c>
      <x:c r="B590" t="str">
        <x:v>JVS-0589</x:v>
      </x:c>
      <x:c r="C590" t="str">
        <x:v>Repair Kit Karburator Vespa Super</x:v>
      </x:c>
      <x:c r="D590" t="str">
        <x:v>Mesin</x:v>
      </x:c>
      <x:c r="E590" t="str">
        <x:v>SUPER</x:v>
      </x:c>
      <x:c r="F590" t="str"/>
      <x:c r="G590" s="12" t="n">
        <x:v>48</x:v>
      </x:c>
      <x:c r="H590" s="12" t="n">
        <x:v>48</x:v>
      </x:c>
      <x:c r="I590" s="12" t="n">
        <x:v>0</x:v>
      </x:c>
      <x:c r="J590" s="16" t="n">
        <x:v>0</x:v>
      </x:c>
      <x:c r="K590" s="14" t="n">
        <x:v>1</x:v>
      </x:c>
      <x:c r="L590" s="14" t="n">
        <x:v>1</x:v>
      </x:c>
      <x:c r="M590" t="str">
        <x:v>LOW</x:v>
      </x:c>
      <x:c r="N590" t="str">
        <x:v>AKTIF</x:v>
      </x:c>
      <x:c r="O590" t="str"/>
      <x:c r="P590" t="str"/>
      <x:c r="Q590" t="str"/>
      <x:c r="R590" t="str"/>
      <x:c r="S590" t="str"/>
      <x:c r="T590" t="str"/>
      <x:c r="U590" s="18" t="n">
        <x:v>46134.041666666664</x:v>
      </x:c>
      <x:c r="V590" t="str">
        <x:v>INITIAL_IMPORT</x:v>
      </x:c>
    </x:row>
    <x:row r="591">
      <x:c r="A591" t="str">
        <x:v>PRD-JVS-0590</x:v>
      </x:c>
      <x:c r="B591" t="str">
        <x:v>JVS-0590</x:v>
      </x:c>
      <x:c r="C591" t="str">
        <x:v>Ring as roda bagian kanan fork kaki 3 super</x:v>
      </x:c>
      <x:c r="D591" t="str">
        <x:v>Kaki-Kaki</x:v>
      </x:c>
      <x:c r="E591" t="str">
        <x:v>SUPER</x:v>
      </x:c>
      <x:c r="F591" t="str"/>
      <x:c r="G591" s="12" t="n">
        <x:v>8</x:v>
      </x:c>
      <x:c r="H591" s="12" t="n">
        <x:v>8</x:v>
      </x:c>
      <x:c r="I591" s="12" t="n">
        <x:v>0</x:v>
      </x:c>
      <x:c r="J591" s="16" t="n">
        <x:v>0</x:v>
      </x:c>
      <x:c r="K591" s="14" t="n">
        <x:v>3</x:v>
      </x:c>
      <x:c r="L591" s="14" t="n">
        <x:v>1</x:v>
      </x:c>
      <x:c r="M591" t="str">
        <x:v>READY</x:v>
      </x:c>
      <x:c r="N591" t="str">
        <x:v>AKTIF</x:v>
      </x:c>
      <x:c r="O591" t="str"/>
      <x:c r="P591" t="str"/>
      <x:c r="Q591" t="str"/>
      <x:c r="R591" t="str"/>
      <x:c r="S591" t="str"/>
      <x:c r="T591" t="str"/>
      <x:c r="U591" s="18" t="n">
        <x:v>46134.041666666664</x:v>
      </x:c>
      <x:c r="V591" t="str">
        <x:v>INITIAL_IMPORT</x:v>
      </x:c>
    </x:row>
    <x:row r="592">
      <x:c r="A592" t="str">
        <x:v>PRD-JVS-0591</x:v>
      </x:c>
      <x:c r="B592" t="str">
        <x:v>JVS-0591</x:v>
      </x:c>
      <x:c r="C592" t="str">
        <x:v>Ring As Roda Vespa Kunci 22 Tebal</x:v>
      </x:c>
      <x:c r="D592" t="str">
        <x:v>Kaki-Kaki</x:v>
      </x:c>
      <x:c r="E592" t="str"/>
      <x:c r="F592" t="str"/>
      <x:c r="G592" s="12" t="str"/>
      <x:c r="H592" s="12" t="str"/>
      <x:c r="I592" s="12" t="str"/>
      <x:c r="J592" s="16" t="str"/>
      <x:c r="K592" s="14" t="n">
        <x:v>4</x:v>
      </x:c>
      <x:c r="L592" s="14" t="n">
        <x:v>1</x:v>
      </x:c>
      <x:c r="M592" t="str">
        <x:v>READY</x:v>
      </x:c>
      <x:c r="N592" t="str">
        <x:v>AKTIF</x:v>
      </x:c>
      <x:c r="O592" t="str"/>
      <x:c r="P592" t="str"/>
      <x:c r="Q592" t="str"/>
      <x:c r="R592" t="str"/>
      <x:c r="S592" t="str"/>
      <x:c r="T592" t="str"/>
      <x:c r="U592" s="18" t="n">
        <x:v>46134.041666666664</x:v>
      </x:c>
      <x:c r="V592" t="str">
        <x:v>INITIAL_IMPORT</x:v>
      </x:c>
    </x:row>
    <x:row r="593">
      <x:c r="A593" t="str">
        <x:v>PRD-JVS-0592</x:v>
      </x:c>
      <x:c r="B593" t="str">
        <x:v>JVS-0592</x:v>
      </x:c>
      <x:c r="C593" t="str">
        <x:v>Ring Baja Kopling Tipis Vespa Bagian As Kopling Vespa As Kecil</x:v>
      </x:c>
      <x:c r="D593" t="str">
        <x:v>Mesin</x:v>
      </x:c>
      <x:c r="E593" t="str"/>
      <x:c r="F593" t="str"/>
      <x:c r="G593" s="12" t="n">
        <x:v>7</x:v>
      </x:c>
      <x:c r="H593" s="12" t="n">
        <x:v>7</x:v>
      </x:c>
      <x:c r="I593" s="12" t="n">
        <x:v>0</x:v>
      </x:c>
      <x:c r="J593" s="16" t="n">
        <x:v>0</x:v>
      </x:c>
      <x:c r="K593" s="14" t="n">
        <x:v>3</x:v>
      </x:c>
      <x:c r="L593" s="14" t="n">
        <x:v>1</x:v>
      </x:c>
      <x:c r="M593" t="str">
        <x:v>READY</x:v>
      </x:c>
      <x:c r="N593" t="str">
        <x:v>AKTIF</x:v>
      </x:c>
      <x:c r="O593" t="str"/>
      <x:c r="P593" t="str"/>
      <x:c r="Q593" t="str"/>
      <x:c r="R593" t="str"/>
      <x:c r="S593" t="str"/>
      <x:c r="T593" t="str"/>
      <x:c r="U593" s="18" t="n">
        <x:v>46134.041666666664</x:v>
      </x:c>
      <x:c r="V593" t="str">
        <x:v>INITIAL_IMPORT</x:v>
      </x:c>
    </x:row>
    <x:row r="594">
      <x:c r="A594" t="str">
        <x:v>PRD-JVS-0593</x:v>
      </x:c>
      <x:c r="B594" t="str">
        <x:v>JVS-0593</x:v>
      </x:c>
      <x:c r="C594" t="str">
        <x:v>Ring Baja Kopling Vespa Bagian As Kopling Vespa As besar</x:v>
      </x:c>
      <x:c r="D594" t="str">
        <x:v>Mesin</x:v>
      </x:c>
      <x:c r="E594" t="str"/>
      <x:c r="F594" t="str"/>
      <x:c r="G594" s="12" t="n">
        <x:v>10</x:v>
      </x:c>
      <x:c r="H594" s="12" t="n">
        <x:v>10</x:v>
      </x:c>
      <x:c r="I594" s="12" t="n">
        <x:v>0</x:v>
      </x:c>
      <x:c r="J594" s="16" t="n">
        <x:v>0</x:v>
      </x:c>
      <x:c r="K594" s="14" t="n">
        <x:v>3</x:v>
      </x:c>
      <x:c r="L594" s="14" t="n">
        <x:v>1</x:v>
      </x:c>
      <x:c r="M594" t="str">
        <x:v>READY</x:v>
      </x:c>
      <x:c r="N594" t="str">
        <x:v>AKTIF</x:v>
      </x:c>
      <x:c r="O594" t="str"/>
      <x:c r="P594" t="str"/>
      <x:c r="Q594" t="str"/>
      <x:c r="R594" t="str"/>
      <x:c r="S594" t="str"/>
      <x:c r="T594" t="str"/>
      <x:c r="U594" s="18" t="n">
        <x:v>46134.041666666664</x:v>
      </x:c>
      <x:c r="V594" t="str">
        <x:v>INITIAL_IMPORT</x:v>
      </x:c>
    </x:row>
    <x:row r="595">
      <x:c r="A595" t="str">
        <x:v>PRD-JVS-0594</x:v>
      </x:c>
      <x:c r="B595" t="str">
        <x:v>JVS-0594</x:v>
      </x:c>
      <x:c r="C595" t="str">
        <x:v>Ring D As Roda Vespa Excel Pen Besar</x:v>
      </x:c>
      <x:c r="D595" t="str">
        <x:v>Kaki-Kaki</x:v>
      </x:c>
      <x:c r="E595" t="str">
        <x:v>EXCEL</x:v>
      </x:c>
      <x:c r="F595" t="str"/>
      <x:c r="G595" s="12" t="str"/>
      <x:c r="H595" s="12" t="str"/>
      <x:c r="I595" s="12" t="str"/>
      <x:c r="J595" s="16" t="str"/>
      <x:c r="K595" s="14" t="n">
        <x:v>15</x:v>
      </x:c>
      <x:c r="L595" s="14" t="n">
        <x:v>1</x:v>
      </x:c>
      <x:c r="M595" t="str">
        <x:v>READY</x:v>
      </x:c>
      <x:c r="N595" t="str">
        <x:v>AKTIF</x:v>
      </x:c>
      <x:c r="O595" t="str"/>
      <x:c r="P595" t="str"/>
      <x:c r="Q595" t="str"/>
      <x:c r="R595" t="str"/>
      <x:c r="S595" t="str"/>
      <x:c r="T595" t="str"/>
      <x:c r="U595" s="18" t="n">
        <x:v>46134.041666666664</x:v>
      </x:c>
      <x:c r="V595" t="str">
        <x:v>INITIAL_IMPORT</x:v>
      </x:c>
    </x:row>
    <x:row r="596">
      <x:c r="A596" t="str">
        <x:v>PRD-JVS-0595</x:v>
      </x:c>
      <x:c r="B596" t="str">
        <x:v>JVS-0595</x:v>
      </x:c>
      <x:c r="C596" t="str">
        <x:v>Ring D As Roda Vespa PX Pen Kecil</x:v>
      </x:c>
      <x:c r="D596" t="str">
        <x:v>Kaki-Kaki</x:v>
      </x:c>
      <x:c r="E596" t="str">
        <x:v>PX</x:v>
      </x:c>
      <x:c r="F596" t="str"/>
      <x:c r="G596" s="12" t="n">
        <x:v>6</x:v>
      </x:c>
      <x:c r="H596" s="12" t="n">
        <x:v>6</x:v>
      </x:c>
      <x:c r="I596" s="12" t="n">
        <x:v>0</x:v>
      </x:c>
      <x:c r="J596" s="16" t="n">
        <x:v>0</x:v>
      </x:c>
      <x:c r="K596" s="14" t="n">
        <x:v>15</x:v>
      </x:c>
      <x:c r="L596" s="14" t="n">
        <x:v>1</x:v>
      </x:c>
      <x:c r="M596" t="str">
        <x:v>READY</x:v>
      </x:c>
      <x:c r="N596" t="str">
        <x:v>AKTIF</x:v>
      </x:c>
      <x:c r="O596" t="str"/>
      <x:c r="P596" t="str"/>
      <x:c r="Q596" t="str"/>
      <x:c r="R596" t="str"/>
      <x:c r="S596" t="str"/>
      <x:c r="T596" t="str"/>
      <x:c r="U596" s="18" t="n">
        <x:v>46134.041666666664</x:v>
      </x:c>
      <x:c r="V596" t="str">
        <x:v>INITIAL_IMPORT</x:v>
      </x:c>
    </x:row>
    <x:row r="597">
      <x:c r="A597" t="str">
        <x:v>PRD-JVS-0596</x:v>
      </x:c>
      <x:c r="B597" t="str">
        <x:v>JVS-0596</x:v>
      </x:c>
      <x:c r="C597" t="str">
        <x:v>Ring Ganjel Sisipan Klip Penahan Gigi Perseneling Bagian As Roda Vespa PXE EXCEL Danmotor</x:v>
      </x:c>
      <x:c r="D597" t="str">
        <x:v>Mesin</x:v>
      </x:c>
      <x:c r="E597" t="str">
        <x:v>EXCEL, PXE, PX</x:v>
      </x:c>
      <x:c r="F597" t="str"/>
      <x:c r="G597" s="12" t="n">
        <x:v>15</x:v>
      </x:c>
      <x:c r="H597" s="12" t="n">
        <x:v>15</x:v>
      </x:c>
      <x:c r="I597" s="12" t="n">
        <x:v>0</x:v>
      </x:c>
      <x:c r="J597" s="16" t="n">
        <x:v>0</x:v>
      </x:c>
      <x:c r="K597" s="14" t="n">
        <x:v>7</x:v>
      </x:c>
      <x:c r="L597" s="14" t="n">
        <x:v>1</x:v>
      </x:c>
      <x:c r="M597" t="str">
        <x:v>READY</x:v>
      </x:c>
      <x:c r="N597" t="str">
        <x:v>AKTIF</x:v>
      </x:c>
      <x:c r="O597" t="str"/>
      <x:c r="P597" t="str"/>
      <x:c r="Q597" t="str"/>
      <x:c r="R597" t="str"/>
      <x:c r="S597" t="str"/>
      <x:c r="T597" t="str"/>
      <x:c r="U597" s="18" t="n">
        <x:v>46134.041666666664</x:v>
      </x:c>
      <x:c r="V597" t="str">
        <x:v>INITIAL_IMPORT</x:v>
      </x:c>
    </x:row>
    <x:row r="598">
      <x:c r="A598" t="str">
        <x:v>PRD-JVS-0597</x:v>
      </x:c>
      <x:c r="B598" t="str">
        <x:v>JVS-0597</x:v>
      </x:c>
      <x:c r="C598" t="str">
        <x:v>Ring Ganjel sisipan Penahan Gigi Perseneling Bagian As Roda Vespa PX Super</x:v>
      </x:c>
      <x:c r="D598" t="str">
        <x:v>Mesin</x:v>
      </x:c>
      <x:c r="E598" t="str">
        <x:v>PX, SUPER</x:v>
      </x:c>
      <x:c r="F598" t="str"/>
      <x:c r="G598" s="12" t="n">
        <x:v>20</x:v>
      </x:c>
      <x:c r="H598" s="12" t="n">
        <x:v>20</x:v>
      </x:c>
      <x:c r="I598" s="12" t="n">
        <x:v>0</x:v>
      </x:c>
      <x:c r="J598" s="16" t="n">
        <x:v>0</x:v>
      </x:c>
      <x:c r="K598" s="14" t="n">
        <x:v>4</x:v>
      </x:c>
      <x:c r="L598" s="14" t="n">
        <x:v>1</x:v>
      </x:c>
      <x:c r="M598" t="str">
        <x:v>READY</x:v>
      </x:c>
      <x:c r="N598" t="str">
        <x:v>AKTIF</x:v>
      </x:c>
      <x:c r="O598" t="str"/>
      <x:c r="P598" t="str"/>
      <x:c r="Q598" t="str"/>
      <x:c r="R598" t="str"/>
      <x:c r="S598" t="str"/>
      <x:c r="T598" t="str"/>
      <x:c r="U598" s="18" t="n">
        <x:v>46134.041666666664</x:v>
      </x:c>
      <x:c r="V598" t="str">
        <x:v>INITIAL_IMPORT</x:v>
      </x:c>
    </x:row>
    <x:row r="599">
      <x:c r="A599" t="str">
        <x:v>PRD-JVS-0598</x:v>
      </x:c>
      <x:c r="B599" t="str">
        <x:v>JVS-0598</x:v>
      </x:c>
      <x:c r="C599" t="str">
        <x:v>Ring Gelombang Stang Vespa</x:v>
      </x:c>
      <x:c r="D599" t="str">
        <x:v>Body</x:v>
      </x:c>
      <x:c r="E599" t="str"/>
      <x:c r="F599" t="str"/>
      <x:c r="G599" s="12" t="n">
        <x:v>7</x:v>
      </x:c>
      <x:c r="H599" s="12" t="n">
        <x:v>7</x:v>
      </x:c>
      <x:c r="I599" s="12" t="n">
        <x:v>0</x:v>
      </x:c>
      <x:c r="J599" s="16" t="n">
        <x:v>0</x:v>
      </x:c>
      <x:c r="K599" s="14" t="n">
        <x:v>6</x:v>
      </x:c>
      <x:c r="L599" s="14" t="n">
        <x:v>1</x:v>
      </x:c>
      <x:c r="M599" t="str">
        <x:v>READY</x:v>
      </x:c>
      <x:c r="N599" t="str">
        <x:v>AKTIF</x:v>
      </x:c>
      <x:c r="O599" t="str"/>
      <x:c r="P599" t="str"/>
      <x:c r="Q599" t="str"/>
      <x:c r="R599" t="str"/>
      <x:c r="S599" t="str"/>
      <x:c r="T599" t="str"/>
      <x:c r="U599" s="18" t="n">
        <x:v>46134.041666666664</x:v>
      </x:c>
      <x:c r="V599" t="str">
        <x:v>INITIAL_IMPORT</x:v>
      </x:c>
    </x:row>
    <x:row r="600">
      <x:c r="A600" t="str">
        <x:v>PRD-JVS-0599</x:v>
      </x:c>
      <x:c r="B600" t="str">
        <x:v>JVS-0599</x:v>
      </x:c>
      <x:c r="C600" t="str">
        <x:v>Ring Komstir Vespa</x:v>
      </x:c>
      <x:c r="D600" t="str">
        <x:v>Servis</x:v>
      </x:c>
      <x:c r="E600" t="str"/>
      <x:c r="F600" t="str"/>
      <x:c r="G600" s="12" t="n">
        <x:v>12</x:v>
      </x:c>
      <x:c r="H600" s="12" t="n">
        <x:v>12</x:v>
      </x:c>
      <x:c r="I600" s="12" t="n">
        <x:v>0</x:v>
      </x:c>
      <x:c r="J600" s="16" t="n">
        <x:v>0</x:v>
      </x:c>
      <x:c r="K600" s="14" t="n">
        <x:v>2</x:v>
      </x:c>
      <x:c r="L600" s="14" t="n">
        <x:v>1</x:v>
      </x:c>
      <x:c r="M600" t="str">
        <x:v>READY</x:v>
      </x:c>
      <x:c r="N600" t="str">
        <x:v>AKTIF</x:v>
      </x:c>
      <x:c r="O600" t="str"/>
      <x:c r="P600" t="str"/>
      <x:c r="Q600" t="str"/>
      <x:c r="R600" t="str"/>
      <x:c r="S600" t="str"/>
      <x:c r="T600" t="str"/>
      <x:c r="U600" s="18" t="n">
        <x:v>46134.041666666664</x:v>
      </x:c>
      <x:c r="V600" t="str">
        <x:v>INITIAL_IMPORT</x:v>
      </x:c>
    </x:row>
    <x:row r="601">
      <x:c r="A601" t="str">
        <x:v>PRD-JVS-0600</x:v>
      </x:c>
      <x:c r="B601" t="str">
        <x:v>JVS-0600</x:v>
      </x:c>
      <x:c r="C601" t="str">
        <x:v>Ring Kuningan Tipis Mangkok Kopling</x:v>
      </x:c>
      <x:c r="D601" t="str">
        <x:v>Mesin</x:v>
      </x:c>
      <x:c r="E601" t="str"/>
      <x:c r="F601" t="str"/>
      <x:c r="G601" s="12" t="n">
        <x:v>12</x:v>
      </x:c>
      <x:c r="H601" s="12" t="n">
        <x:v>12</x:v>
      </x:c>
      <x:c r="I601" s="12" t="n">
        <x:v>0</x:v>
      </x:c>
      <x:c r="J601" s="16" t="n">
        <x:v>0</x:v>
      </x:c>
      <x:c r="K601" s="14" t="n">
        <x:v>7</x:v>
      </x:c>
      <x:c r="L601" s="14" t="n">
        <x:v>1</x:v>
      </x:c>
      <x:c r="M601" t="str">
        <x:v>READY</x:v>
      </x:c>
      <x:c r="N601" t="str">
        <x:v>AKTIF</x:v>
      </x:c>
      <x:c r="O601" t="str"/>
      <x:c r="P601" t="str"/>
      <x:c r="Q601" t="str"/>
      <x:c r="R601" t="str"/>
      <x:c r="S601" t="str"/>
      <x:c r="T601" t="str"/>
      <x:c r="U601" s="18" t="n">
        <x:v>46134.041666666664</x:v>
      </x:c>
      <x:c r="V601" t="str">
        <x:v>INITIAL_IMPORT</x:v>
      </x:c>
    </x:row>
    <x:row r="602">
      <x:c r="A602" t="str">
        <x:v>PRD-JVS-0601</x:v>
      </x:c>
      <x:c r="B602" t="str">
        <x:v>JVS-0601</x:v>
      </x:c>
      <x:c r="C602" t="str">
        <x:v>Ring Lampu Headlamp Vespa PS TV Chrome</x:v>
      </x:c>
      <x:c r="D602" t="str">
        <x:v>Mesin</x:v>
      </x:c>
      <x:c r="E602" t="str">
        <x:v>PS</x:v>
      </x:c>
      <x:c r="F602" t="str"/>
      <x:c r="G602" s="12" t="n">
        <x:v>38</x:v>
      </x:c>
      <x:c r="H602" s="12" t="n">
        <x:v>38</x:v>
      </x:c>
      <x:c r="I602" s="12" t="n">
        <x:v>0</x:v>
      </x:c>
      <x:c r="J602" s="16" t="n">
        <x:v>0</x:v>
      </x:c>
      <x:c r="K602" s="14" t="n">
        <x:v>3</x:v>
      </x:c>
      <x:c r="L602" s="14" t="n">
        <x:v>1</x:v>
      </x:c>
      <x:c r="M602" t="str">
        <x:v>READY</x:v>
      </x:c>
      <x:c r="N602" t="str">
        <x:v>AKTIF</x:v>
      </x:c>
      <x:c r="O602" t="str"/>
      <x:c r="P602" t="str"/>
      <x:c r="Q602" t="str"/>
      <x:c r="R602" t="str"/>
      <x:c r="S602" t="str"/>
      <x:c r="T602" t="str"/>
      <x:c r="U602" s="18" t="n">
        <x:v>46134.041666666664</x:v>
      </x:c>
      <x:c r="V602" t="str">
        <x:v>INITIAL_IMPORT</x:v>
      </x:c>
    </x:row>
    <x:row r="603">
      <x:c r="A603" t="str">
        <x:v>PRD-JVS-0602</x:v>
      </x:c>
      <x:c r="B603" t="str">
        <x:v>JVS-0602</x:v>
      </x:c>
      <x:c r="C603" t="str">
        <x:v>Ring Lampu Headlamp Vespa PX Strada Spartan</x:v>
      </x:c>
      <x:c r="D603" t="str">
        <x:v>Mesin</x:v>
      </x:c>
      <x:c r="E603" t="str">
        <x:v>PX, STRADA, SPARTAN</x:v>
      </x:c>
      <x:c r="F603" t="str"/>
      <x:c r="G603" s="12" t="n">
        <x:v>45</x:v>
      </x:c>
      <x:c r="H603" s="12" t="n">
        <x:v>45</x:v>
      </x:c>
      <x:c r="I603" s="12" t="n">
        <x:v>0</x:v>
      </x:c>
      <x:c r="J603" s="16" t="n">
        <x:v>0</x:v>
      </x:c>
      <x:c r="K603" s="14" t="n">
        <x:v>3</x:v>
      </x:c>
      <x:c r="L603" s="14" t="n">
        <x:v>1</x:v>
      </x:c>
      <x:c r="M603" t="str">
        <x:v>READY</x:v>
      </x:c>
      <x:c r="N603" t="str">
        <x:v>AKTIF</x:v>
      </x:c>
      <x:c r="O603" t="str"/>
      <x:c r="P603" t="str"/>
      <x:c r="Q603" t="str"/>
      <x:c r="R603" t="str"/>
      <x:c r="S603" t="str"/>
      <x:c r="T603" t="str"/>
      <x:c r="U603" s="18" t="n">
        <x:v>46134.041666666664</x:v>
      </x:c>
      <x:c r="V603" t="str">
        <x:v>INITIAL_IMPORT</x:v>
      </x:c>
    </x:row>
    <x:row r="604">
      <x:c r="A604" t="str">
        <x:v>PRD-JVS-0603</x:v>
      </x:c>
      <x:c r="B604" t="str">
        <x:v>JVS-0603</x:v>
      </x:c>
      <x:c r="C604" t="str">
        <x:v>Ring Lampu Headlamp Vespa Super Sprint Jenong Chrome</x:v>
      </x:c>
      <x:c r="D604" t="str">
        <x:v>Mesin</x:v>
      </x:c>
      <x:c r="E604" t="str">
        <x:v>SUPER, SPRINT</x:v>
      </x:c>
      <x:c r="F604" t="str"/>
      <x:c r="G604" s="12" t="str"/>
      <x:c r="H604" s="12" t="str"/>
      <x:c r="I604" s="12" t="str"/>
      <x:c r="J604" s="16" t="str"/>
      <x:c r="K604" s="14" t="n">
        <x:v>2</x:v>
      </x:c>
      <x:c r="L604" s="14" t="n">
        <x:v>1</x:v>
      </x:c>
      <x:c r="M604" t="str">
        <x:v>READY</x:v>
      </x:c>
      <x:c r="N604" t="str">
        <x:v>AKTIF</x:v>
      </x:c>
      <x:c r="O604" t="str"/>
      <x:c r="P604" t="str"/>
      <x:c r="Q604" t="str"/>
      <x:c r="R604" t="str"/>
      <x:c r="S604" t="str"/>
      <x:c r="T604" t="str"/>
      <x:c r="U604" s="18" t="n">
        <x:v>46134.041666666664</x:v>
      </x:c>
      <x:c r="V604" t="str">
        <x:v>INITIAL_IMPORT</x:v>
      </x:c>
    </x:row>
    <x:row r="605">
      <x:c r="A605" t="str">
        <x:v>PRD-JVS-0604</x:v>
      </x:c>
      <x:c r="B605" t="str">
        <x:v>JVS-0604</x:v>
      </x:c>
      <x:c r="C605" t="str">
        <x:v>Ring Matahari As Roda Belakang Kunci 22</x:v>
      </x:c>
      <x:c r="D605" t="str">
        <x:v>Kaki-Kaki</x:v>
      </x:c>
      <x:c r="E605" t="str"/>
      <x:c r="F605" t="str"/>
      <x:c r="G605" s="12" t="n">
        <x:v>5</x:v>
      </x:c>
      <x:c r="H605" s="12" t="n">
        <x:v>5</x:v>
      </x:c>
      <x:c r="I605" s="12" t="n">
        <x:v>0</x:v>
      </x:c>
      <x:c r="J605" s="16" t="n">
        <x:v>0</x:v>
      </x:c>
      <x:c r="K605" s="14" t="n">
        <x:v>0</x:v>
      </x:c>
      <x:c r="L605" s="14" t="n">
        <x:v>1</x:v>
      </x:c>
      <x:c r="M605" t="str">
        <x:v>OUT OF STOCK</x:v>
      </x:c>
      <x:c r="N605" t="str">
        <x:v>AKTIF</x:v>
      </x:c>
      <x:c r="O605" t="str"/>
      <x:c r="P605" t="str"/>
      <x:c r="Q605" t="str"/>
      <x:c r="R605" t="str"/>
      <x:c r="S605" t="str"/>
      <x:c r="T605" t="str"/>
      <x:c r="U605" s="18" t="n">
        <x:v>46134.041666666664</x:v>
      </x:c>
      <x:c r="V605" t="str">
        <x:v>INITIAL_IMPORT</x:v>
      </x:c>
    </x:row>
    <x:row r="606">
      <x:c r="A606" t="str">
        <x:v>PRD-JVS-0605</x:v>
      </x:c>
      <x:c r="B606" t="str">
        <x:v>JVS-0605</x:v>
      </x:c>
      <x:c r="C606" t="str">
        <x:v>Ring Matahari Kopling</x:v>
      </x:c>
      <x:c r="D606" t="str">
        <x:v>Mesin</x:v>
      </x:c>
      <x:c r="E606" t="str"/>
      <x:c r="F606" t="str"/>
      <x:c r="G606" s="12" t="n">
        <x:v>5</x:v>
      </x:c>
      <x:c r="H606" s="12" t="n">
        <x:v>5</x:v>
      </x:c>
      <x:c r="I606" s="12" t="n">
        <x:v>0</x:v>
      </x:c>
      <x:c r="J606" s="16" t="n">
        <x:v>0</x:v>
      </x:c>
      <x:c r="K606" s="14" t="n">
        <x:v>53</x:v>
      </x:c>
      <x:c r="L606" s="14" t="n">
        <x:v>1</x:v>
      </x:c>
      <x:c r="M606" t="str">
        <x:v>READY</x:v>
      </x:c>
      <x:c r="N606" t="str">
        <x:v>AKTIF</x:v>
      </x:c>
      <x:c r="O606" t="str"/>
      <x:c r="P606" t="str"/>
      <x:c r="Q606" t="str"/>
      <x:c r="R606" t="str"/>
      <x:c r="S606" t="str"/>
      <x:c r="T606" t="str"/>
      <x:c r="U606" s="18" t="n">
        <x:v>46134.041666666664</x:v>
      </x:c>
      <x:c r="V606" t="str">
        <x:v>INITIAL_IMPORT</x:v>
      </x:c>
    </x:row>
    <x:row r="607">
      <x:c r="A607" t="str">
        <x:v>PRD-JVS-0606</x:v>
      </x:c>
      <x:c r="B607" t="str">
        <x:v>JVS-0606</x:v>
      </x:c>
      <x:c r="C607" t="str">
        <x:v>Ring Oli M14</x:v>
      </x:c>
      <x:c r="D607" t="str">
        <x:v>Servis</x:v>
      </x:c>
      <x:c r="E607" t="str"/>
      <x:c r="F607" t="str"/>
      <x:c r="G607" s="12" t="str"/>
      <x:c r="H607" s="12" t="str"/>
      <x:c r="I607" s="12" t="str"/>
      <x:c r="J607" s="16" t="str"/>
      <x:c r="K607" s="14" t="n">
        <x:v>10</x:v>
      </x:c>
      <x:c r="L607" s="14" t="n">
        <x:v>1</x:v>
      </x:c>
      <x:c r="M607" t="str">
        <x:v>READY</x:v>
      </x:c>
      <x:c r="N607" t="str">
        <x:v>AKTIF</x:v>
      </x:c>
      <x:c r="O607" t="str"/>
      <x:c r="P607" t="str"/>
      <x:c r="Q607" t="str"/>
      <x:c r="R607" t="str"/>
      <x:c r="S607" t="str"/>
      <x:c r="T607" t="str"/>
      <x:c r="U607" s="18" t="n">
        <x:v>46134.041666666664</x:v>
      </x:c>
      <x:c r="V607" t="str">
        <x:v>INITIAL_IMPORT</x:v>
      </x:c>
    </x:row>
    <x:row r="608">
      <x:c r="A608" t="str">
        <x:v>PRD-JVS-0607</x:v>
      </x:c>
      <x:c r="B608" t="str">
        <x:v>JVS-0607</x:v>
      </x:c>
      <x:c r="C608" t="str">
        <x:v>Ring Per M7</x:v>
      </x:c>
      <x:c r="D608" t="str">
        <x:v>Servis</x:v>
      </x:c>
      <x:c r="E608" t="str"/>
      <x:c r="F608" t="str"/>
      <x:c r="G608" s="12" t="n">
        <x:v>500</x:v>
      </x:c>
      <x:c r="H608" s="12" t="n">
        <x:v>500</x:v>
      </x:c>
      <x:c r="I608" s="12" t="n">
        <x:v>0</x:v>
      </x:c>
      <x:c r="J608" s="16" t="n">
        <x:v>0</x:v>
      </x:c>
      <x:c r="K608" s="14" t="n">
        <x:v>50</x:v>
      </x:c>
      <x:c r="L608" s="14" t="n">
        <x:v>1</x:v>
      </x:c>
      <x:c r="M608" t="str">
        <x:v>READY</x:v>
      </x:c>
      <x:c r="N608" t="str">
        <x:v>AKTIF</x:v>
      </x:c>
      <x:c r="O608" t="str"/>
      <x:c r="P608" t="str"/>
      <x:c r="Q608" t="str"/>
      <x:c r="R608" t="str"/>
      <x:c r="S608" t="str"/>
      <x:c r="T608" t="str"/>
      <x:c r="U608" s="18" t="n">
        <x:v>46134.041666666664</x:v>
      </x:c>
      <x:c r="V608" t="str">
        <x:v>INITIAL_IMPORT</x:v>
      </x:c>
    </x:row>
    <x:row r="609">
      <x:c r="A609" t="str">
        <x:v>PRD-JVS-0608</x:v>
      </x:c>
      <x:c r="B609" t="str">
        <x:v>JVS-0608</x:v>
      </x:c>
      <x:c r="C609" t="str">
        <x:v>Ring Seher Tebal Vespa Import 10M</x:v>
      </x:c>
      <x:c r="D609" t="str">
        <x:v>Mesin</x:v>
      </x:c>
      <x:c r="E609" t="str"/>
      <x:c r="F609" t="str"/>
      <x:c r="G609" s="12" t="n">
        <x:v>35</x:v>
      </x:c>
      <x:c r="H609" s="12" t="n">
        <x:v>35</x:v>
      </x:c>
      <x:c r="I609" s="12" t="n">
        <x:v>0</x:v>
      </x:c>
      <x:c r="J609" s="16" t="n">
        <x:v>0</x:v>
      </x:c>
      <x:c r="K609" s="14" t="n">
        <x:v>1</x:v>
      </x:c>
      <x:c r="L609" s="14" t="n">
        <x:v>1</x:v>
      </x:c>
      <x:c r="M609" t="str">
        <x:v>LOW</x:v>
      </x:c>
      <x:c r="N609" t="str">
        <x:v>AKTIF</x:v>
      </x:c>
      <x:c r="O609" t="str"/>
      <x:c r="P609" t="str"/>
      <x:c r="Q609" t="str"/>
      <x:c r="R609" t="str"/>
      <x:c r="S609" t="str"/>
      <x:c r="T609" t="str"/>
      <x:c r="U609" s="18" t="n">
        <x:v>46134.041666666664</x:v>
      </x:c>
      <x:c r="V609" t="str">
        <x:v>INITIAL_IMPORT</x:v>
      </x:c>
    </x:row>
    <x:row r="610">
      <x:c r="A610" t="str">
        <x:v>PRD-JVS-0609</x:v>
      </x:c>
      <x:c r="B610" t="str">
        <x:v>JVS-0609</x:v>
      </x:c>
      <x:c r="C610" t="str">
        <x:v>Ring Seher Tebal Vespa Import 11M</x:v>
      </x:c>
      <x:c r="D610" t="str">
        <x:v>Mesin</x:v>
      </x:c>
      <x:c r="E610" t="str"/>
      <x:c r="F610" t="str"/>
      <x:c r="G610" s="12" t="n">
        <x:v>35</x:v>
      </x:c>
      <x:c r="H610" s="12" t="n">
        <x:v>35</x:v>
      </x:c>
      <x:c r="I610" s="12" t="n">
        <x:v>0</x:v>
      </x:c>
      <x:c r="J610" s="16" t="n">
        <x:v>0</x:v>
      </x:c>
      <x:c r="K610" s="14" t="n">
        <x:v>1</x:v>
      </x:c>
      <x:c r="L610" s="14" t="n">
        <x:v>1</x:v>
      </x:c>
      <x:c r="M610" t="str">
        <x:v>LOW</x:v>
      </x:c>
      <x:c r="N610" t="str">
        <x:v>AKTIF</x:v>
      </x:c>
      <x:c r="O610" t="str"/>
      <x:c r="P610" t="str"/>
      <x:c r="Q610" t="str"/>
      <x:c r="R610" t="str"/>
      <x:c r="S610" t="str"/>
      <x:c r="T610" t="str"/>
      <x:c r="U610" s="18" t="n">
        <x:v>46134.041666666664</x:v>
      </x:c>
      <x:c r="V610" t="str">
        <x:v>INITIAL_IMPORT</x:v>
      </x:c>
    </x:row>
    <x:row r="611">
      <x:c r="A611" t="str">
        <x:v>PRD-JVS-0610</x:v>
      </x:c>
      <x:c r="B611" t="str">
        <x:v>JVS-0610</x:v>
      </x:c>
      <x:c r="C611" t="str">
        <x:v>Ring Seher Tebal Vespa Import 12M</x:v>
      </x:c>
      <x:c r="D611" t="str">
        <x:v>Mesin</x:v>
      </x:c>
      <x:c r="E611" t="str"/>
      <x:c r="F611" t="str"/>
      <x:c r="G611" s="12" t="n">
        <x:v>35</x:v>
      </x:c>
      <x:c r="H611" s="12" t="n">
        <x:v>35</x:v>
      </x:c>
      <x:c r="I611" s="12" t="n">
        <x:v>0</x:v>
      </x:c>
      <x:c r="J611" s="16" t="n">
        <x:v>0</x:v>
      </x:c>
      <x:c r="K611" s="14" t="n">
        <x:v>1</x:v>
      </x:c>
      <x:c r="L611" s="14" t="n">
        <x:v>1</x:v>
      </x:c>
      <x:c r="M611" t="str">
        <x:v>LOW</x:v>
      </x:c>
      <x:c r="N611" t="str">
        <x:v>AKTIF</x:v>
      </x:c>
      <x:c r="O611" t="str"/>
      <x:c r="P611" t="str"/>
      <x:c r="Q611" t="str"/>
      <x:c r="R611" t="str"/>
      <x:c r="S611" t="str"/>
      <x:c r="T611" t="str"/>
      <x:c r="U611" s="18" t="n">
        <x:v>46134.041666666664</x:v>
      </x:c>
      <x:c r="V611" t="str">
        <x:v>INITIAL_IMPORT</x:v>
      </x:c>
    </x:row>
    <x:row r="612">
      <x:c r="A612" t="str">
        <x:v>PRD-JVS-0611</x:v>
      </x:c>
      <x:c r="B612" t="str">
        <x:v>JVS-0611</x:v>
      </x:c>
      <x:c r="C612" t="str">
        <x:v>Ring Seher Tebal Vespa Import 2M</x:v>
      </x:c>
      <x:c r="D612" t="str">
        <x:v>Mesin</x:v>
      </x:c>
      <x:c r="E612" t="str"/>
      <x:c r="F612" t="str"/>
      <x:c r="G612" s="12" t="n">
        <x:v>35</x:v>
      </x:c>
      <x:c r="H612" s="12" t="n">
        <x:v>35</x:v>
      </x:c>
      <x:c r="I612" s="12" t="n">
        <x:v>0</x:v>
      </x:c>
      <x:c r="J612" s="16" t="n">
        <x:v>0</x:v>
      </x:c>
      <x:c r="K612" s="14" t="n">
        <x:v>2</x:v>
      </x:c>
      <x:c r="L612" s="14" t="n">
        <x:v>1</x:v>
      </x:c>
      <x:c r="M612" t="str">
        <x:v>READY</x:v>
      </x:c>
      <x:c r="N612" t="str">
        <x:v>AKTIF</x:v>
      </x:c>
      <x:c r="O612" t="str"/>
      <x:c r="P612" t="str"/>
      <x:c r="Q612" t="str"/>
      <x:c r="R612" t="str"/>
      <x:c r="S612" t="str"/>
      <x:c r="T612" t="str"/>
      <x:c r="U612" s="18" t="n">
        <x:v>46134.041666666664</x:v>
      </x:c>
      <x:c r="V612" t="str">
        <x:v>INITIAL_IMPORT</x:v>
      </x:c>
    </x:row>
    <x:row r="613">
      <x:c r="A613" t="str">
        <x:v>PRD-JVS-0612</x:v>
      </x:c>
      <x:c r="B613" t="str">
        <x:v>JVS-0612</x:v>
      </x:c>
      <x:c r="C613" t="str">
        <x:v>Ring Seher Tebal Vespa Import 3M</x:v>
      </x:c>
      <x:c r="D613" t="str">
        <x:v>Mesin</x:v>
      </x:c>
      <x:c r="E613" t="str"/>
      <x:c r="F613" t="str"/>
      <x:c r="G613" s="12" t="n">
        <x:v>35</x:v>
      </x:c>
      <x:c r="H613" s="12" t="n">
        <x:v>35</x:v>
      </x:c>
      <x:c r="I613" s="12" t="n">
        <x:v>0</x:v>
      </x:c>
      <x:c r="J613" s="16" t="n">
        <x:v>0</x:v>
      </x:c>
      <x:c r="K613" s="14" t="n">
        <x:v>1</x:v>
      </x:c>
      <x:c r="L613" s="14" t="n">
        <x:v>1</x:v>
      </x:c>
      <x:c r="M613" t="str">
        <x:v>LOW</x:v>
      </x:c>
      <x:c r="N613" t="str">
        <x:v>AKTIF</x:v>
      </x:c>
      <x:c r="O613" t="str"/>
      <x:c r="P613" t="str"/>
      <x:c r="Q613" t="str"/>
      <x:c r="R613" t="str"/>
      <x:c r="S613" t="str"/>
      <x:c r="T613" t="str"/>
      <x:c r="U613" s="18" t="n">
        <x:v>46134.041666666664</x:v>
      </x:c>
      <x:c r="V613" t="str">
        <x:v>INITIAL_IMPORT</x:v>
      </x:c>
    </x:row>
    <x:row r="614">
      <x:c r="A614" t="str">
        <x:v>PRD-JVS-0613</x:v>
      </x:c>
      <x:c r="B614" t="str">
        <x:v>JVS-0613</x:v>
      </x:c>
      <x:c r="C614" t="str">
        <x:v>Ring Seher Tebal Vespa Import 4M</x:v>
      </x:c>
      <x:c r="D614" t="str">
        <x:v>Mesin</x:v>
      </x:c>
      <x:c r="E614" t="str"/>
      <x:c r="F614" t="str"/>
      <x:c r="G614" s="12" t="n">
        <x:v>35</x:v>
      </x:c>
      <x:c r="H614" s="12" t="n">
        <x:v>35</x:v>
      </x:c>
      <x:c r="I614" s="12" t="n">
        <x:v>0</x:v>
      </x:c>
      <x:c r="J614" s="16" t="n">
        <x:v>0</x:v>
      </x:c>
      <x:c r="K614" s="14" t="n">
        <x:v>1</x:v>
      </x:c>
      <x:c r="L614" s="14" t="n">
        <x:v>1</x:v>
      </x:c>
      <x:c r="M614" t="str">
        <x:v>LOW</x:v>
      </x:c>
      <x:c r="N614" t="str">
        <x:v>AKTIF</x:v>
      </x:c>
      <x:c r="O614" t="str"/>
      <x:c r="P614" t="str"/>
      <x:c r="Q614" t="str"/>
      <x:c r="R614" t="str"/>
      <x:c r="S614" t="str"/>
      <x:c r="T614" t="str"/>
      <x:c r="U614" s="18" t="n">
        <x:v>46134.041666666664</x:v>
      </x:c>
      <x:c r="V614" t="str">
        <x:v>INITIAL_IMPORT</x:v>
      </x:c>
    </x:row>
    <x:row r="615">
      <x:c r="A615" t="str">
        <x:v>PRD-JVS-0614</x:v>
      </x:c>
      <x:c r="B615" t="str">
        <x:v>JVS-0614</x:v>
      </x:c>
      <x:c r="C615" t="str">
        <x:v>Ring Seher Tebal Vespa Import 5M</x:v>
      </x:c>
      <x:c r="D615" t="str">
        <x:v>Mesin</x:v>
      </x:c>
      <x:c r="E615" t="str"/>
      <x:c r="F615" t="str"/>
      <x:c r="G615" s="12" t="n">
        <x:v>35</x:v>
      </x:c>
      <x:c r="H615" s="12" t="n">
        <x:v>35</x:v>
      </x:c>
      <x:c r="I615" s="12" t="n">
        <x:v>0</x:v>
      </x:c>
      <x:c r="J615" s="16" t="n">
        <x:v>0</x:v>
      </x:c>
      <x:c r="K615" s="14" t="n">
        <x:v>1</x:v>
      </x:c>
      <x:c r="L615" s="14" t="n">
        <x:v>1</x:v>
      </x:c>
      <x:c r="M615" t="str">
        <x:v>LOW</x:v>
      </x:c>
      <x:c r="N615" t="str">
        <x:v>AKTIF</x:v>
      </x:c>
      <x:c r="O615" t="str"/>
      <x:c r="P615" t="str"/>
      <x:c r="Q615" t="str"/>
      <x:c r="R615" t="str"/>
      <x:c r="S615" t="str"/>
      <x:c r="T615" t="str"/>
      <x:c r="U615" s="18" t="n">
        <x:v>46134.041666666664</x:v>
      </x:c>
      <x:c r="V615" t="str">
        <x:v>INITIAL_IMPORT</x:v>
      </x:c>
    </x:row>
    <x:row r="616">
      <x:c r="A616" t="str">
        <x:v>PRD-JVS-0615</x:v>
      </x:c>
      <x:c r="B616" t="str">
        <x:v>JVS-0615</x:v>
      </x:c>
      <x:c r="C616" t="str">
        <x:v>Ring Seher Tebal Vespa Import 6M</x:v>
      </x:c>
      <x:c r="D616" t="str">
        <x:v>Mesin</x:v>
      </x:c>
      <x:c r="E616" t="str"/>
      <x:c r="F616" t="str"/>
      <x:c r="G616" s="12" t="n">
        <x:v>35</x:v>
      </x:c>
      <x:c r="H616" s="12" t="n">
        <x:v>35</x:v>
      </x:c>
      <x:c r="I616" s="12" t="n">
        <x:v>0</x:v>
      </x:c>
      <x:c r="J616" s="16" t="n">
        <x:v>0</x:v>
      </x:c>
      <x:c r="K616" s="14" t="n">
        <x:v>1</x:v>
      </x:c>
      <x:c r="L616" s="14" t="n">
        <x:v>1</x:v>
      </x:c>
      <x:c r="M616" t="str">
        <x:v>LOW</x:v>
      </x:c>
      <x:c r="N616" t="str">
        <x:v>AKTIF</x:v>
      </x:c>
      <x:c r="O616" t="str"/>
      <x:c r="P616" t="str"/>
      <x:c r="Q616" t="str"/>
      <x:c r="R616" t="str"/>
      <x:c r="S616" t="str"/>
      <x:c r="T616" t="str"/>
      <x:c r="U616" s="18" t="n">
        <x:v>46134.041666666664</x:v>
      </x:c>
      <x:c r="V616" t="str">
        <x:v>INITIAL_IMPORT</x:v>
      </x:c>
    </x:row>
    <x:row r="617">
      <x:c r="A617" t="str">
        <x:v>PRD-JVS-0616</x:v>
      </x:c>
      <x:c r="B617" t="str">
        <x:v>JVS-0616</x:v>
      </x:c>
      <x:c r="C617" t="str">
        <x:v>Ring Seher Tebal Vespa Import 7M</x:v>
      </x:c>
      <x:c r="D617" t="str">
        <x:v>Mesin</x:v>
      </x:c>
      <x:c r="E617" t="str"/>
      <x:c r="F617" t="str"/>
      <x:c r="G617" s="12" t="n">
        <x:v>35</x:v>
      </x:c>
      <x:c r="H617" s="12" t="n">
        <x:v>35</x:v>
      </x:c>
      <x:c r="I617" s="12" t="n">
        <x:v>0</x:v>
      </x:c>
      <x:c r="J617" s="16" t="n">
        <x:v>0</x:v>
      </x:c>
      <x:c r="K617" s="14" t="n">
        <x:v>1</x:v>
      </x:c>
      <x:c r="L617" s="14" t="n">
        <x:v>1</x:v>
      </x:c>
      <x:c r="M617" t="str">
        <x:v>LOW</x:v>
      </x:c>
      <x:c r="N617" t="str">
        <x:v>AKTIF</x:v>
      </x:c>
      <x:c r="O617" t="str"/>
      <x:c r="P617" t="str"/>
      <x:c r="Q617" t="str"/>
      <x:c r="R617" t="str"/>
      <x:c r="S617" t="str"/>
      <x:c r="T617" t="str"/>
      <x:c r="U617" s="18" t="n">
        <x:v>46134.041666666664</x:v>
      </x:c>
      <x:c r="V617" t="str">
        <x:v>INITIAL_IMPORT</x:v>
      </x:c>
    </x:row>
    <x:row r="618">
      <x:c r="A618" t="str">
        <x:v>PRD-JVS-0617</x:v>
      </x:c>
      <x:c r="B618" t="str">
        <x:v>JVS-0617</x:v>
      </x:c>
      <x:c r="C618" t="str">
        <x:v>Ring Seher Tebal Vespa Import 8M</x:v>
      </x:c>
      <x:c r="D618" t="str">
        <x:v>Mesin</x:v>
      </x:c>
      <x:c r="E618" t="str"/>
      <x:c r="F618" t="str"/>
      <x:c r="G618" s="12" t="n">
        <x:v>35</x:v>
      </x:c>
      <x:c r="H618" s="12" t="n">
        <x:v>35</x:v>
      </x:c>
      <x:c r="I618" s="12" t="n">
        <x:v>0</x:v>
      </x:c>
      <x:c r="J618" s="16" t="n">
        <x:v>0</x:v>
      </x:c>
      <x:c r="K618" s="14" t="n">
        <x:v>1</x:v>
      </x:c>
      <x:c r="L618" s="14" t="n">
        <x:v>1</x:v>
      </x:c>
      <x:c r="M618" t="str">
        <x:v>LOW</x:v>
      </x:c>
      <x:c r="N618" t="str">
        <x:v>AKTIF</x:v>
      </x:c>
      <x:c r="O618" t="str"/>
      <x:c r="P618" t="str"/>
      <x:c r="Q618" t="str"/>
      <x:c r="R618" t="str"/>
      <x:c r="S618" t="str"/>
      <x:c r="T618" t="str"/>
      <x:c r="U618" s="18" t="n">
        <x:v>46134.041666666664</x:v>
      </x:c>
      <x:c r="V618" t="str">
        <x:v>INITIAL_IMPORT</x:v>
      </x:c>
    </x:row>
    <x:row r="619">
      <x:c r="A619" t="str">
        <x:v>PRD-JVS-0618</x:v>
      </x:c>
      <x:c r="B619" t="str">
        <x:v>JVS-0618</x:v>
      </x:c>
      <x:c r="C619" t="str">
        <x:v>Ring Seher Tebal Vespa Import 9M</x:v>
      </x:c>
      <x:c r="D619" t="str">
        <x:v>Mesin</x:v>
      </x:c>
      <x:c r="E619" t="str"/>
      <x:c r="F619" t="str"/>
      <x:c r="G619" s="12" t="n">
        <x:v>35</x:v>
      </x:c>
      <x:c r="H619" s="12" t="n">
        <x:v>35</x:v>
      </x:c>
      <x:c r="I619" s="12" t="n">
        <x:v>0</x:v>
      </x:c>
      <x:c r="J619" s="16" t="n">
        <x:v>0</x:v>
      </x:c>
      <x:c r="K619" s="14" t="n">
        <x:v>1</x:v>
      </x:c>
      <x:c r="L619" s="14" t="n">
        <x:v>1</x:v>
      </x:c>
      <x:c r="M619" t="str">
        <x:v>LOW</x:v>
      </x:c>
      <x:c r="N619" t="str">
        <x:v>AKTIF</x:v>
      </x:c>
      <x:c r="O619" t="str"/>
      <x:c r="P619" t="str"/>
      <x:c r="Q619" t="str"/>
      <x:c r="R619" t="str"/>
      <x:c r="S619" t="str"/>
      <x:c r="T619" t="str"/>
      <x:c r="U619" s="18" t="n">
        <x:v>46134.041666666664</x:v>
      </x:c>
      <x:c r="V619" t="str">
        <x:v>INITIAL_IMPORT</x:v>
      </x:c>
    </x:row>
    <x:row r="620">
      <x:c r="A620" t="str">
        <x:v>PRD-JVS-0619</x:v>
      </x:c>
      <x:c r="B620" t="str">
        <x:v>JVS-0619</x:v>
      </x:c>
      <x:c r="C620" t="str">
        <x:v>Ring Seher Tipis Vespa Import 10M</x:v>
      </x:c>
      <x:c r="D620" t="str">
        <x:v>Mesin</x:v>
      </x:c>
      <x:c r="E620" t="str"/>
      <x:c r="F620" t="str"/>
      <x:c r="G620" s="12" t="n">
        <x:v>35</x:v>
      </x:c>
      <x:c r="H620" s="12" t="n">
        <x:v>35</x:v>
      </x:c>
      <x:c r="I620" s="12" t="n">
        <x:v>0</x:v>
      </x:c>
      <x:c r="J620" s="16" t="n">
        <x:v>0</x:v>
      </x:c>
      <x:c r="K620" s="14" t="n">
        <x:v>0</x:v>
      </x:c>
      <x:c r="L620" s="14" t="n">
        <x:v>1</x:v>
      </x:c>
      <x:c r="M620" t="str">
        <x:v>OUT OF STOCK</x:v>
      </x:c>
      <x:c r="N620" t="str">
        <x:v>AKTIF</x:v>
      </x:c>
      <x:c r="O620" t="str"/>
      <x:c r="P620" t="str"/>
      <x:c r="Q620" t="str"/>
      <x:c r="R620" t="str"/>
      <x:c r="S620" t="str"/>
      <x:c r="T620" t="str"/>
      <x:c r="U620" s="18" t="n">
        <x:v>46134.041666666664</x:v>
      </x:c>
      <x:c r="V620" t="str">
        <x:v>INITIAL_IMPORT</x:v>
      </x:c>
    </x:row>
    <x:row r="621">
      <x:c r="A621" t="str">
        <x:v>PRD-JVS-0620</x:v>
      </x:c>
      <x:c r="B621" t="str">
        <x:v>JVS-0620</x:v>
      </x:c>
      <x:c r="C621" t="str">
        <x:v>Ring Seher Tipis Vespa Import 11M</x:v>
      </x:c>
      <x:c r="D621" t="str">
        <x:v>Mesin</x:v>
      </x:c>
      <x:c r="E621" t="str"/>
      <x:c r="F621" t="str"/>
      <x:c r="G621" s="12" t="n">
        <x:v>35</x:v>
      </x:c>
      <x:c r="H621" s="12" t="n">
        <x:v>35</x:v>
      </x:c>
      <x:c r="I621" s="12" t="n">
        <x:v>0</x:v>
      </x:c>
      <x:c r="J621" s="16" t="n">
        <x:v>0</x:v>
      </x:c>
      <x:c r="K621" s="14" t="n">
        <x:v>1</x:v>
      </x:c>
      <x:c r="L621" s="14" t="n">
        <x:v>1</x:v>
      </x:c>
      <x:c r="M621" t="str">
        <x:v>LOW</x:v>
      </x:c>
      <x:c r="N621" t="str">
        <x:v>AKTIF</x:v>
      </x:c>
      <x:c r="O621" t="str"/>
      <x:c r="P621" t="str"/>
      <x:c r="Q621" t="str"/>
      <x:c r="R621" t="str"/>
      <x:c r="S621" t="str"/>
      <x:c r="T621" t="str"/>
      <x:c r="U621" s="18" t="n">
        <x:v>46134.041666666664</x:v>
      </x:c>
      <x:c r="V621" t="str">
        <x:v>INITIAL_IMPORT</x:v>
      </x:c>
    </x:row>
    <x:row r="622">
      <x:c r="A622" t="str">
        <x:v>PRD-JVS-0621</x:v>
      </x:c>
      <x:c r="B622" t="str">
        <x:v>JVS-0621</x:v>
      </x:c>
      <x:c r="C622" t="str">
        <x:v>Ring Seher Tipis Vespa Import 12M</x:v>
      </x:c>
      <x:c r="D622" t="str">
        <x:v>Mesin</x:v>
      </x:c>
      <x:c r="E622" t="str"/>
      <x:c r="F622" t="str"/>
      <x:c r="G622" s="12" t="n">
        <x:v>35</x:v>
      </x:c>
      <x:c r="H622" s="12" t="n">
        <x:v>35</x:v>
      </x:c>
      <x:c r="I622" s="12" t="n">
        <x:v>0</x:v>
      </x:c>
      <x:c r="J622" s="16" t="n">
        <x:v>0</x:v>
      </x:c>
      <x:c r="K622" s="14" t="n">
        <x:v>1</x:v>
      </x:c>
      <x:c r="L622" s="14" t="n">
        <x:v>1</x:v>
      </x:c>
      <x:c r="M622" t="str">
        <x:v>LOW</x:v>
      </x:c>
      <x:c r="N622" t="str">
        <x:v>AKTIF</x:v>
      </x:c>
      <x:c r="O622" t="str"/>
      <x:c r="P622" t="str"/>
      <x:c r="Q622" t="str"/>
      <x:c r="R622" t="str"/>
      <x:c r="S622" t="str"/>
      <x:c r="T622" t="str"/>
      <x:c r="U622" s="18" t="n">
        <x:v>46134.041666666664</x:v>
      </x:c>
      <x:c r="V622" t="str">
        <x:v>INITIAL_IMPORT</x:v>
      </x:c>
    </x:row>
    <x:row r="623">
      <x:c r="A623" t="str">
        <x:v>PRD-JVS-0622</x:v>
      </x:c>
      <x:c r="B623" t="str">
        <x:v>JVS-0622</x:v>
      </x:c>
      <x:c r="C623" t="str">
        <x:v>Ring Seher Tipis Vespa Import 1M</x:v>
      </x:c>
      <x:c r="D623" t="str">
        <x:v>Mesin</x:v>
      </x:c>
      <x:c r="E623" t="str"/>
      <x:c r="F623" t="str"/>
      <x:c r="G623" s="12" t="n">
        <x:v>35</x:v>
      </x:c>
      <x:c r="H623" s="12" t="n">
        <x:v>35</x:v>
      </x:c>
      <x:c r="I623" s="12" t="n">
        <x:v>0</x:v>
      </x:c>
      <x:c r="J623" s="16" t="n">
        <x:v>0</x:v>
      </x:c>
      <x:c r="K623" s="14" t="n">
        <x:v>1</x:v>
      </x:c>
      <x:c r="L623" s="14" t="n">
        <x:v>1</x:v>
      </x:c>
      <x:c r="M623" t="str">
        <x:v>LOW</x:v>
      </x:c>
      <x:c r="N623" t="str">
        <x:v>AKTIF</x:v>
      </x:c>
      <x:c r="O623" t="str"/>
      <x:c r="P623" t="str"/>
      <x:c r="Q623" t="str"/>
      <x:c r="R623" t="str"/>
      <x:c r="S623" t="str"/>
      <x:c r="T623" t="str"/>
      <x:c r="U623" s="18" t="n">
        <x:v>46134.041666666664</x:v>
      </x:c>
      <x:c r="V623" t="str">
        <x:v>INITIAL_IMPORT</x:v>
      </x:c>
    </x:row>
    <x:row r="624">
      <x:c r="A624" t="str">
        <x:v>PRD-JVS-0623</x:v>
      </x:c>
      <x:c r="B624" t="str">
        <x:v>JVS-0623</x:v>
      </x:c>
      <x:c r="C624" t="str">
        <x:v>Ring Seher Tipis Vespa Import 2M</x:v>
      </x:c>
      <x:c r="D624" t="str">
        <x:v>Mesin</x:v>
      </x:c>
      <x:c r="E624" t="str"/>
      <x:c r="F624" t="str"/>
      <x:c r="G624" s="12" t="n">
        <x:v>35</x:v>
      </x:c>
      <x:c r="H624" s="12" t="n">
        <x:v>35</x:v>
      </x:c>
      <x:c r="I624" s="12" t="n">
        <x:v>0</x:v>
      </x:c>
      <x:c r="J624" s="16" t="n">
        <x:v>0</x:v>
      </x:c>
      <x:c r="K624" s="14" t="n">
        <x:v>1</x:v>
      </x:c>
      <x:c r="L624" s="14" t="n">
        <x:v>1</x:v>
      </x:c>
      <x:c r="M624" t="str">
        <x:v>LOW</x:v>
      </x:c>
      <x:c r="N624" t="str">
        <x:v>AKTIF</x:v>
      </x:c>
      <x:c r="O624" t="str"/>
      <x:c r="P624" t="str"/>
      <x:c r="Q624" t="str"/>
      <x:c r="R624" t="str"/>
      <x:c r="S624" t="str"/>
      <x:c r="T624" t="str"/>
      <x:c r="U624" s="18" t="n">
        <x:v>46134.041666666664</x:v>
      </x:c>
      <x:c r="V624" t="str">
        <x:v>INITIAL_IMPORT</x:v>
      </x:c>
    </x:row>
    <x:row r="625">
      <x:c r="A625" t="str">
        <x:v>PRD-JVS-0624</x:v>
      </x:c>
      <x:c r="B625" t="str">
        <x:v>JVS-0624</x:v>
      </x:c>
      <x:c r="C625" t="str">
        <x:v>Ring Seher Tipis Vespa Import 3M</x:v>
      </x:c>
      <x:c r="D625" t="str">
        <x:v>Mesin</x:v>
      </x:c>
      <x:c r="E625" t="str"/>
      <x:c r="F625" t="str"/>
      <x:c r="G625" s="12" t="n">
        <x:v>35</x:v>
      </x:c>
      <x:c r="H625" s="12" t="n">
        <x:v>35</x:v>
      </x:c>
      <x:c r="I625" s="12" t="n">
        <x:v>0</x:v>
      </x:c>
      <x:c r="J625" s="16" t="n">
        <x:v>0</x:v>
      </x:c>
      <x:c r="K625" s="14" t="n">
        <x:v>1</x:v>
      </x:c>
      <x:c r="L625" s="14" t="n">
        <x:v>1</x:v>
      </x:c>
      <x:c r="M625" t="str">
        <x:v>LOW</x:v>
      </x:c>
      <x:c r="N625" t="str">
        <x:v>AKTIF</x:v>
      </x:c>
      <x:c r="O625" t="str"/>
      <x:c r="P625" t="str"/>
      <x:c r="Q625" t="str"/>
      <x:c r="R625" t="str"/>
      <x:c r="S625" t="str"/>
      <x:c r="T625" t="str"/>
      <x:c r="U625" s="18" t="n">
        <x:v>46134.041666666664</x:v>
      </x:c>
      <x:c r="V625" t="str">
        <x:v>INITIAL_IMPORT</x:v>
      </x:c>
    </x:row>
    <x:row r="626">
      <x:c r="A626" t="str">
        <x:v>PRD-JVS-0625</x:v>
      </x:c>
      <x:c r="B626" t="str">
        <x:v>JVS-0625</x:v>
      </x:c>
      <x:c r="C626" t="str">
        <x:v>Ring Seher Tipis Vespa Import 4M</x:v>
      </x:c>
      <x:c r="D626" t="str">
        <x:v>Mesin</x:v>
      </x:c>
      <x:c r="E626" t="str"/>
      <x:c r="F626" t="str"/>
      <x:c r="G626" s="12" t="n">
        <x:v>35</x:v>
      </x:c>
      <x:c r="H626" s="12" t="n">
        <x:v>35</x:v>
      </x:c>
      <x:c r="I626" s="12" t="n">
        <x:v>0</x:v>
      </x:c>
      <x:c r="J626" s="16" t="n">
        <x:v>0</x:v>
      </x:c>
      <x:c r="K626" s="14" t="n">
        <x:v>1</x:v>
      </x:c>
      <x:c r="L626" s="14" t="n">
        <x:v>1</x:v>
      </x:c>
      <x:c r="M626" t="str">
        <x:v>LOW</x:v>
      </x:c>
      <x:c r="N626" t="str">
        <x:v>AKTIF</x:v>
      </x:c>
      <x:c r="O626" t="str"/>
      <x:c r="P626" t="str"/>
      <x:c r="Q626" t="str"/>
      <x:c r="R626" t="str"/>
      <x:c r="S626" t="str"/>
      <x:c r="T626" t="str"/>
      <x:c r="U626" s="18" t="n">
        <x:v>46134.041666666664</x:v>
      </x:c>
      <x:c r="V626" t="str">
        <x:v>INITIAL_IMPORT</x:v>
      </x:c>
    </x:row>
    <x:row r="627">
      <x:c r="A627" t="str">
        <x:v>PRD-JVS-0626</x:v>
      </x:c>
      <x:c r="B627" t="str">
        <x:v>JVS-0626</x:v>
      </x:c>
      <x:c r="C627" t="str">
        <x:v>Ring Seher Tipis Vespa Import 5M</x:v>
      </x:c>
      <x:c r="D627" t="str">
        <x:v>Mesin</x:v>
      </x:c>
      <x:c r="E627" t="str"/>
      <x:c r="F627" t="str"/>
      <x:c r="G627" s="12" t="n">
        <x:v>35</x:v>
      </x:c>
      <x:c r="H627" s="12" t="n">
        <x:v>35</x:v>
      </x:c>
      <x:c r="I627" s="12" t="n">
        <x:v>0</x:v>
      </x:c>
      <x:c r="J627" s="16" t="n">
        <x:v>0</x:v>
      </x:c>
      <x:c r="K627" s="14" t="n">
        <x:v>1</x:v>
      </x:c>
      <x:c r="L627" s="14" t="n">
        <x:v>1</x:v>
      </x:c>
      <x:c r="M627" t="str">
        <x:v>LOW</x:v>
      </x:c>
      <x:c r="N627" t="str">
        <x:v>AKTIF</x:v>
      </x:c>
      <x:c r="O627" t="str"/>
      <x:c r="P627" t="str"/>
      <x:c r="Q627" t="str"/>
      <x:c r="R627" t="str"/>
      <x:c r="S627" t="str"/>
      <x:c r="T627" t="str"/>
      <x:c r="U627" s="18" t="n">
        <x:v>46134.041666666664</x:v>
      </x:c>
      <x:c r="V627" t="str">
        <x:v>INITIAL_IMPORT</x:v>
      </x:c>
    </x:row>
    <x:row r="628">
      <x:c r="A628" t="str">
        <x:v>PRD-JVS-0627</x:v>
      </x:c>
      <x:c r="B628" t="str">
        <x:v>JVS-0627</x:v>
      </x:c>
      <x:c r="C628" t="str">
        <x:v>Ring Seher Tipis Vespa Import 6M</x:v>
      </x:c>
      <x:c r="D628" t="str">
        <x:v>Mesin</x:v>
      </x:c>
      <x:c r="E628" t="str"/>
      <x:c r="F628" t="str"/>
      <x:c r="G628" s="12" t="n">
        <x:v>35</x:v>
      </x:c>
      <x:c r="H628" s="12" t="n">
        <x:v>35</x:v>
      </x:c>
      <x:c r="I628" s="12" t="n">
        <x:v>0</x:v>
      </x:c>
      <x:c r="J628" s="16" t="n">
        <x:v>0</x:v>
      </x:c>
      <x:c r="K628" s="14" t="n">
        <x:v>2</x:v>
      </x:c>
      <x:c r="L628" s="14" t="n">
        <x:v>1</x:v>
      </x:c>
      <x:c r="M628" t="str">
        <x:v>READY</x:v>
      </x:c>
      <x:c r="N628" t="str">
        <x:v>AKTIF</x:v>
      </x:c>
      <x:c r="O628" t="str"/>
      <x:c r="P628" t="str"/>
      <x:c r="Q628" t="str"/>
      <x:c r="R628" t="str"/>
      <x:c r="S628" t="str"/>
      <x:c r="T628" t="str"/>
      <x:c r="U628" s="18" t="n">
        <x:v>46134.041666666664</x:v>
      </x:c>
      <x:c r="V628" t="str">
        <x:v>INITIAL_IMPORT</x:v>
      </x:c>
    </x:row>
    <x:row r="629">
      <x:c r="A629" t="str">
        <x:v>PRD-JVS-0628</x:v>
      </x:c>
      <x:c r="B629" t="str">
        <x:v>JVS-0628</x:v>
      </x:c>
      <x:c r="C629" t="str">
        <x:v>Ring Seher Tipis Vespa Import 7M</x:v>
      </x:c>
      <x:c r="D629" t="str">
        <x:v>Mesin</x:v>
      </x:c>
      <x:c r="E629" t="str"/>
      <x:c r="F629" t="str"/>
      <x:c r="G629" s="12" t="n">
        <x:v>35</x:v>
      </x:c>
      <x:c r="H629" s="12" t="n">
        <x:v>35</x:v>
      </x:c>
      <x:c r="I629" s="12" t="n">
        <x:v>0</x:v>
      </x:c>
      <x:c r="J629" s="16" t="n">
        <x:v>0</x:v>
      </x:c>
      <x:c r="K629" s="14" t="n">
        <x:v>2</x:v>
      </x:c>
      <x:c r="L629" s="14" t="n">
        <x:v>1</x:v>
      </x:c>
      <x:c r="M629" t="str">
        <x:v>READY</x:v>
      </x:c>
      <x:c r="N629" t="str">
        <x:v>AKTIF</x:v>
      </x:c>
      <x:c r="O629" t="str"/>
      <x:c r="P629" t="str"/>
      <x:c r="Q629" t="str"/>
      <x:c r="R629" t="str"/>
      <x:c r="S629" t="str"/>
      <x:c r="T629" t="str"/>
      <x:c r="U629" s="18" t="n">
        <x:v>46134.041666666664</x:v>
      </x:c>
      <x:c r="V629" t="str">
        <x:v>INITIAL_IMPORT</x:v>
      </x:c>
    </x:row>
    <x:row r="630">
      <x:c r="A630" t="str">
        <x:v>PRD-JVS-0629</x:v>
      </x:c>
      <x:c r="B630" t="str">
        <x:v>JVS-0629</x:v>
      </x:c>
      <x:c r="C630" t="str">
        <x:v>Ring Seher Tipis Vespa Import 8M</x:v>
      </x:c>
      <x:c r="D630" t="str">
        <x:v>Mesin</x:v>
      </x:c>
      <x:c r="E630" t="str"/>
      <x:c r="F630" t="str"/>
      <x:c r="G630" s="12" t="n">
        <x:v>35</x:v>
      </x:c>
      <x:c r="H630" s="12" t="n">
        <x:v>35</x:v>
      </x:c>
      <x:c r="I630" s="12" t="n">
        <x:v>0</x:v>
      </x:c>
      <x:c r="J630" s="16" t="n">
        <x:v>0</x:v>
      </x:c>
      <x:c r="K630" s="14" t="n">
        <x:v>1</x:v>
      </x:c>
      <x:c r="L630" s="14" t="n">
        <x:v>1</x:v>
      </x:c>
      <x:c r="M630" t="str">
        <x:v>LOW</x:v>
      </x:c>
      <x:c r="N630" t="str">
        <x:v>AKTIF</x:v>
      </x:c>
      <x:c r="O630" t="str"/>
      <x:c r="P630" t="str"/>
      <x:c r="Q630" t="str"/>
      <x:c r="R630" t="str"/>
      <x:c r="S630" t="str"/>
      <x:c r="T630" t="str"/>
      <x:c r="U630" s="18" t="n">
        <x:v>46134.041666666664</x:v>
      </x:c>
      <x:c r="V630" t="str">
        <x:v>INITIAL_IMPORT</x:v>
      </x:c>
    </x:row>
    <x:row r="631">
      <x:c r="A631" t="str">
        <x:v>PRD-JVS-0630</x:v>
      </x:c>
      <x:c r="B631" t="str">
        <x:v>JVS-0630</x:v>
      </x:c>
      <x:c r="C631" t="str">
        <x:v>Ring Seher Tipis Vespa Import 9M</x:v>
      </x:c>
      <x:c r="D631" t="str">
        <x:v>Mesin</x:v>
      </x:c>
      <x:c r="E631" t="str"/>
      <x:c r="F631" t="str"/>
      <x:c r="G631" s="12" t="n">
        <x:v>35</x:v>
      </x:c>
      <x:c r="H631" s="12" t="n">
        <x:v>35</x:v>
      </x:c>
      <x:c r="I631" s="12" t="n">
        <x:v>0</x:v>
      </x:c>
      <x:c r="J631" s="16" t="n">
        <x:v>0</x:v>
      </x:c>
      <x:c r="K631" s="14" t="n">
        <x:v>1</x:v>
      </x:c>
      <x:c r="L631" s="14" t="n">
        <x:v>1</x:v>
      </x:c>
      <x:c r="M631" t="str">
        <x:v>LOW</x:v>
      </x:c>
      <x:c r="N631" t="str">
        <x:v>AKTIF</x:v>
      </x:c>
      <x:c r="O631" t="str"/>
      <x:c r="P631" t="str"/>
      <x:c r="Q631" t="str"/>
      <x:c r="R631" t="str"/>
      <x:c r="S631" t="str"/>
      <x:c r="T631" t="str"/>
      <x:c r="U631" s="18" t="n">
        <x:v>46134.041666666664</x:v>
      </x:c>
      <x:c r="V631" t="str">
        <x:v>INITIAL_IMPORT</x:v>
      </x:c>
    </x:row>
    <x:row r="632">
      <x:c r="A632" t="str">
        <x:v>PRD-JVS-0631</x:v>
      </x:c>
      <x:c r="B632" t="str">
        <x:v>JVS-0631</x:v>
      </x:c>
      <x:c r="C632" t="str">
        <x:v>Ring tutup mur roda bagian kanan balhub super sprint</x:v>
      </x:c>
      <x:c r="D632" t="str">
        <x:v>Kaki-Kaki</x:v>
      </x:c>
      <x:c r="E632" t="str">
        <x:v>SUPER, SPRINT</x:v>
      </x:c>
      <x:c r="F632" t="str"/>
      <x:c r="G632" s="12" t="n">
        <x:v>7</x:v>
      </x:c>
      <x:c r="H632" s="12" t="n">
        <x:v>7</x:v>
      </x:c>
      <x:c r="I632" s="12" t="n">
        <x:v>0</x:v>
      </x:c>
      <x:c r="J632" s="16" t="n">
        <x:v>0</x:v>
      </x:c>
      <x:c r="K632" s="14" t="n">
        <x:v>3</x:v>
      </x:c>
      <x:c r="L632" s="14" t="n">
        <x:v>1</x:v>
      </x:c>
      <x:c r="M632" t="str">
        <x:v>READY</x:v>
      </x:c>
      <x:c r="N632" t="str">
        <x:v>AKTIF</x:v>
      </x:c>
      <x:c r="O632" t="str"/>
      <x:c r="P632" t="str"/>
      <x:c r="Q632" t="str"/>
      <x:c r="R632" t="str"/>
      <x:c r="S632" t="str"/>
      <x:c r="T632" t="str"/>
      <x:c r="U632" s="18" t="n">
        <x:v>46134.041666666664</x:v>
      </x:c>
      <x:c r="V632" t="str">
        <x:v>INITIAL_IMPORT</x:v>
      </x:c>
    </x:row>
    <x:row r="633">
      <x:c r="A633" t="str">
        <x:v>PRD-JVS-0632</x:v>
      </x:c>
      <x:c r="B633" t="str">
        <x:v>JVS-0632</x:v>
      </x:c>
      <x:c r="C633" t="str">
        <x:v>Rotor As Besar Magnet Vespa Excel PXE CDI</x:v>
      </x:c>
      <x:c r="D633" t="str">
        <x:v>Mesin</x:v>
      </x:c>
      <x:c r="E633" t="str">
        <x:v>EXCEL, PXE, PX</x:v>
      </x:c>
      <x:c r="F633" t="str"/>
      <x:c r="G633" s="12" t="n">
        <x:v>80</x:v>
      </x:c>
      <x:c r="H633" s="12" t="n">
        <x:v>80</x:v>
      </x:c>
      <x:c r="I633" s="12" t="n">
        <x:v>0</x:v>
      </x:c>
      <x:c r="J633" s="16" t="n">
        <x:v>0</x:v>
      </x:c>
      <x:c r="K633" s="14" t="n">
        <x:v>3</x:v>
      </x:c>
      <x:c r="L633" s="14" t="n">
        <x:v>1</x:v>
      </x:c>
      <x:c r="M633" t="str">
        <x:v>READY</x:v>
      </x:c>
      <x:c r="N633" t="str">
        <x:v>AKTIF</x:v>
      </x:c>
      <x:c r="O633" t="str"/>
      <x:c r="P633" t="str"/>
      <x:c r="Q633" t="str"/>
      <x:c r="R633" t="str"/>
      <x:c r="S633" t="str"/>
      <x:c r="T633" t="str"/>
      <x:c r="U633" s="18" t="n">
        <x:v>46134.041666666664</x:v>
      </x:c>
      <x:c r="V633" t="str">
        <x:v>INITIAL_IMPORT</x:v>
      </x:c>
    </x:row>
    <x:row r="634">
      <x:c r="A634" t="str">
        <x:v>PRD-JVS-0633</x:v>
      </x:c>
      <x:c r="B634" t="str">
        <x:v>JVS-0633</x:v>
      </x:c>
      <x:c r="C634" t="str">
        <x:v>Rotor As Besar Magnet Vespa Super PS Platina</x:v>
      </x:c>
      <x:c r="D634" t="str">
        <x:v>Mesin</x:v>
      </x:c>
      <x:c r="E634" t="str">
        <x:v>SUPER, PS</x:v>
      </x:c>
      <x:c r="F634" t="str"/>
      <x:c r="G634" s="12" t="n">
        <x:v>85</x:v>
      </x:c>
      <x:c r="H634" s="12" t="n">
        <x:v>85</x:v>
      </x:c>
      <x:c r="I634" s="12" t="n">
        <x:v>0</x:v>
      </x:c>
      <x:c r="J634" s="16" t="n">
        <x:v>0</x:v>
      </x:c>
      <x:c r="K634" s="14" t="n">
        <x:v>7</x:v>
      </x:c>
      <x:c r="L634" s="14" t="n">
        <x:v>1</x:v>
      </x:c>
      <x:c r="M634" t="str">
        <x:v>READY</x:v>
      </x:c>
      <x:c r="N634" t="str">
        <x:v>AKTIF</x:v>
      </x:c>
      <x:c r="O634" t="str"/>
      <x:c r="P634" t="str"/>
      <x:c r="Q634" t="str"/>
      <x:c r="R634" t="str"/>
      <x:c r="S634" t="str"/>
      <x:c r="T634" t="str"/>
      <x:c r="U634" s="18" t="n">
        <x:v>46134.041666666664</x:v>
      </x:c>
      <x:c r="V634" t="str">
        <x:v>INITIAL_IMPORT</x:v>
      </x:c>
    </x:row>
    <x:row r="635">
      <x:c r="A635" t="str">
        <x:v>PRD-JVS-0634</x:v>
      </x:c>
      <x:c r="B635" t="str">
        <x:v>JVS-0634</x:v>
      </x:c>
      <x:c r="C635" t="str">
        <x:v>Rotor As Kecil Vespa Super Sprint Bajaj</x:v>
      </x:c>
      <x:c r="D635" t="str">
        <x:v>Mesin</x:v>
      </x:c>
      <x:c r="E635" t="str">
        <x:v>SUPER, SPRINT, BAJAJ</x:v>
      </x:c>
      <x:c r="F635" t="str"/>
      <x:c r="G635" s="12" t="n">
        <x:v>75</x:v>
      </x:c>
      <x:c r="H635" s="12" t="n">
        <x:v>75</x:v>
      </x:c>
      <x:c r="I635" s="12" t="n">
        <x:v>0</x:v>
      </x:c>
      <x:c r="J635" s="16" t="n">
        <x:v>0</x:v>
      </x:c>
      <x:c r="K635" s="14" t="n">
        <x:v>5</x:v>
      </x:c>
      <x:c r="L635" s="14" t="n">
        <x:v>1</x:v>
      </x:c>
      <x:c r="M635" t="str">
        <x:v>READY</x:v>
      </x:c>
      <x:c r="N635" t="str">
        <x:v>AKTIF</x:v>
      </x:c>
      <x:c r="O635" t="str"/>
      <x:c r="P635" t="str"/>
      <x:c r="Q635" t="str"/>
      <x:c r="R635" t="str"/>
      <x:c r="S635" t="str"/>
      <x:c r="T635" t="str"/>
      <x:c r="U635" s="18" t="n">
        <x:v>46134.041666666664</x:v>
      </x:c>
      <x:c r="V635" t="str">
        <x:v>INITIAL_IMPORT</x:v>
      </x:c>
    </x:row>
    <x:row r="636">
      <x:c r="A636" t="str">
        <x:v>PRD-JVS-0635</x:v>
      </x:c>
      <x:c r="B636" t="str">
        <x:v>JVS-0635</x:v>
      </x:c>
      <x:c r="C636" t="str">
        <x:v>Rumah Gigi Spedometer set gigi nanas vespa Super</x:v>
      </x:c>
      <x:c r="D636" t="str">
        <x:v>Mesin</x:v>
      </x:c>
      <x:c r="E636" t="str">
        <x:v>SUPER</x:v>
      </x:c>
      <x:c r="F636" t="str"/>
      <x:c r="G636" s="12" t="n">
        <x:v>65</x:v>
      </x:c>
      <x:c r="H636" s="12" t="n">
        <x:v>65</x:v>
      </x:c>
      <x:c r="I636" s="12" t="n">
        <x:v>0</x:v>
      </x:c>
      <x:c r="J636" s="16" t="n">
        <x:v>0</x:v>
      </x:c>
      <x:c r="K636" s="14" t="n">
        <x:v>1</x:v>
      </x:c>
      <x:c r="L636" s="14" t="n">
        <x:v>1</x:v>
      </x:c>
      <x:c r="M636" t="str">
        <x:v>LOW</x:v>
      </x:c>
      <x:c r="N636" t="str">
        <x:v>AKTIF</x:v>
      </x:c>
      <x:c r="O636" t="str"/>
      <x:c r="P636" t="str"/>
      <x:c r="Q636" t="str"/>
      <x:c r="R636" t="str"/>
      <x:c r="S636" t="str"/>
      <x:c r="T636" t="str"/>
      <x:c r="U636" s="18" t="n">
        <x:v>46134.041666666664</x:v>
      </x:c>
      <x:c r="V636" t="str">
        <x:v>INITIAL_IMPORT</x:v>
      </x:c>
    </x:row>
    <x:row r="637">
      <x:c r="A637" t="str">
        <x:v>PRD-JVS-0636</x:v>
      </x:c>
      <x:c r="B637" t="str">
        <x:v>JVS-0636</x:v>
      </x:c>
      <x:c r="C637" t="str">
        <x:v>Rumah Kunci Kontak Vespa PXE Excel</x:v>
      </x:c>
      <x:c r="D637" t="str">
        <x:v>Aksesoris</x:v>
      </x:c>
      <x:c r="E637" t="str">
        <x:v>EXCEL, PXE, PX</x:v>
      </x:c>
      <x:c r="F637" t="str"/>
      <x:c r="G637" s="12" t="n">
        <x:v>25</x:v>
      </x:c>
      <x:c r="H637" s="12" t="n">
        <x:v>25</x:v>
      </x:c>
      <x:c r="I637" s="12" t="n">
        <x:v>0</x:v>
      </x:c>
      <x:c r="J637" s="16" t="n">
        <x:v>0</x:v>
      </x:c>
      <x:c r="K637" s="14" t="n">
        <x:v>3</x:v>
      </x:c>
      <x:c r="L637" s="14" t="n">
        <x:v>1</x:v>
      </x:c>
      <x:c r="M637" t="str">
        <x:v>READY</x:v>
      </x:c>
      <x:c r="N637" t="str">
        <x:v>AKTIF</x:v>
      </x:c>
      <x:c r="O637" t="str"/>
      <x:c r="P637" t="str"/>
      <x:c r="Q637" t="str"/>
      <x:c r="R637" t="str"/>
      <x:c r="S637" t="str"/>
      <x:c r="T637" t="str"/>
      <x:c r="U637" s="18" t="n">
        <x:v>46134.041666666664</x:v>
      </x:c>
      <x:c r="V637" t="str">
        <x:v>INITIAL_IMPORT</x:v>
      </x:c>
    </x:row>
    <x:row r="638">
      <x:c r="A638" t="str">
        <x:v>PRD-JVS-0637</x:v>
      </x:c>
      <x:c r="B638" t="str">
        <x:v>JVS-0637</x:v>
      </x:c>
      <x:c r="C638" t="str">
        <x:v>Saklar Lampu Depan Strada AC Import</x:v>
      </x:c>
      <x:c r="D638" t="str">
        <x:v>Kelistrikan</x:v>
      </x:c>
      <x:c r="E638" t="str">
        <x:v>STRADA</x:v>
      </x:c>
      <x:c r="F638" t="str"/>
      <x:c r="G638" s="12" t="n">
        <x:v>125</x:v>
      </x:c>
      <x:c r="H638" s="12" t="n">
        <x:v>125</x:v>
      </x:c>
      <x:c r="I638" s="12" t="n">
        <x:v>0</x:v>
      </x:c>
      <x:c r="J638" s="16" t="n">
        <x:v>0</x:v>
      </x:c>
      <x:c r="K638" s="14" t="n">
        <x:v>3</x:v>
      </x:c>
      <x:c r="L638" s="14" t="n">
        <x:v>1</x:v>
      </x:c>
      <x:c r="M638" t="str">
        <x:v>READY</x:v>
      </x:c>
      <x:c r="N638" t="str">
        <x:v>AKTIF</x:v>
      </x:c>
      <x:c r="O638" t="str"/>
      <x:c r="P638" t="str"/>
      <x:c r="Q638" t="str"/>
      <x:c r="R638" t="str"/>
      <x:c r="S638" t="str"/>
      <x:c r="T638" t="str"/>
      <x:c r="U638" s="18" t="n">
        <x:v>46134.041666666664</x:v>
      </x:c>
      <x:c r="V638" t="str">
        <x:v>INITIAL_IMPORT</x:v>
      </x:c>
    </x:row>
    <x:row r="639">
      <x:c r="A639" t="str">
        <x:v>PRD-JVS-0638</x:v>
      </x:c>
      <x:c r="B639" t="str">
        <x:v>JVS-0638</x:v>
      </x:c>
      <x:c r="C639" t="str">
        <x:v>Saklar Lampu Depan Vespa Excel Merk Vivo</x:v>
      </x:c>
      <x:c r="D639" t="str">
        <x:v>Kelistrikan</x:v>
      </x:c>
      <x:c r="E639" t="str">
        <x:v>EXCEL</x:v>
      </x:c>
      <x:c r="F639" t="str"/>
      <x:c r="G639" s="12" t="n">
        <x:v>135</x:v>
      </x:c>
      <x:c r="H639" s="12" t="n">
        <x:v>135</x:v>
      </x:c>
      <x:c r="I639" s="12" t="n">
        <x:v>0</x:v>
      </x:c>
      <x:c r="J639" s="16" t="n">
        <x:v>0</x:v>
      </x:c>
      <x:c r="K639" s="14" t="n">
        <x:v>1</x:v>
      </x:c>
      <x:c r="L639" s="14" t="n">
        <x:v>1</x:v>
      </x:c>
      <x:c r="M639" t="str">
        <x:v>LOW</x:v>
      </x:c>
      <x:c r="N639" t="str">
        <x:v>AKTIF</x:v>
      </x:c>
      <x:c r="O639" t="str"/>
      <x:c r="P639" t="str"/>
      <x:c r="Q639" t="str"/>
      <x:c r="R639" t="str"/>
      <x:c r="S639" t="str"/>
      <x:c r="T639" t="str"/>
      <x:c r="U639" s="18" t="n">
        <x:v>46134.041666666664</x:v>
      </x:c>
      <x:c r="V639" t="str">
        <x:v>INITIAL_IMPORT</x:v>
      </x:c>
    </x:row>
    <x:row r="640">
      <x:c r="A640" t="str">
        <x:v>PRD-JVS-0639</x:v>
      </x:c>
      <x:c r="B640" t="str">
        <x:v>JVS-0639</x:v>
      </x:c>
      <x:c r="C640" t="str">
        <x:v>Saklar Lampu PX Lama Tuas Gantung AC</x:v>
      </x:c>
      <x:c r="D640" t="str">
        <x:v>Kelistrikan</x:v>
      </x:c>
      <x:c r="E640" t="str">
        <x:v>PX</x:v>
      </x:c>
      <x:c r="F640" t="str"/>
      <x:c r="G640" s="12" t="n">
        <x:v>125</x:v>
      </x:c>
      <x:c r="H640" s="12" t="n">
        <x:v>125</x:v>
      </x:c>
      <x:c r="I640" s="12" t="n">
        <x:v>0</x:v>
      </x:c>
      <x:c r="J640" s="16" t="n">
        <x:v>0</x:v>
      </x:c>
      <x:c r="K640" s="14" t="n">
        <x:v>1</x:v>
      </x:c>
      <x:c r="L640" s="14" t="n">
        <x:v>1</x:v>
      </x:c>
      <x:c r="M640" t="str">
        <x:v>LOW</x:v>
      </x:c>
      <x:c r="N640" t="str">
        <x:v>AKTIF</x:v>
      </x:c>
      <x:c r="O640" t="str"/>
      <x:c r="P640" t="str"/>
      <x:c r="Q640" t="str"/>
      <x:c r="R640" t="str"/>
      <x:c r="S640" t="str"/>
      <x:c r="T640" t="str"/>
      <x:c r="U640" s="18" t="n">
        <x:v>46134.041666666664</x:v>
      </x:c>
      <x:c r="V640" t="str">
        <x:v>INITIAL_IMPORT</x:v>
      </x:c>
    </x:row>
    <x:row r="641">
      <x:c r="A641" t="str">
        <x:v>PRD-JVS-0640</x:v>
      </x:c>
      <x:c r="B641" t="str">
        <x:v>JVS-0640</x:v>
      </x:c>
      <x:c r="C641" t="str">
        <x:v>Saklar Lampu Vespa Super 12 Volt</x:v>
      </x:c>
      <x:c r="D641" t="str">
        <x:v>Kelistrikan</x:v>
      </x:c>
      <x:c r="E641" t="str">
        <x:v>SUPER</x:v>
      </x:c>
      <x:c r="F641" t="str"/>
      <x:c r="G641" s="12" t="n">
        <x:v>65</x:v>
      </x:c>
      <x:c r="H641" s="12" t="n">
        <x:v>65</x:v>
      </x:c>
      <x:c r="I641" s="12" t="n">
        <x:v>0</x:v>
      </x:c>
      <x:c r="J641" s="16" t="n">
        <x:v>0</x:v>
      </x:c>
      <x:c r="K641" s="14" t="n">
        <x:v>1</x:v>
      </x:c>
      <x:c r="L641" s="14" t="n">
        <x:v>1</x:v>
      </x:c>
      <x:c r="M641" t="str">
        <x:v>LOW</x:v>
      </x:c>
      <x:c r="N641" t="str">
        <x:v>AKTIF</x:v>
      </x:c>
      <x:c r="O641" t="str"/>
      <x:c r="P641" t="str"/>
      <x:c r="Q641" t="str"/>
      <x:c r="R641" t="str"/>
      <x:c r="S641" t="str"/>
      <x:c r="T641" t="str"/>
      <x:c r="U641" s="18" t="n">
        <x:v>46134.041666666664</x:v>
      </x:c>
      <x:c r="V641" t="str">
        <x:v>INITIAL_IMPORT</x:v>
      </x:c>
    </x:row>
    <x:row r="642">
      <x:c r="A642" t="str">
        <x:v>PRD-JVS-0641</x:v>
      </x:c>
      <x:c r="B642" t="str">
        <x:v>JVS-0641</x:v>
      </x:c>
      <x:c r="C642" t="str">
        <x:v>Saklar Lampu Vespa Super Standar 6volt Import</x:v>
      </x:c>
      <x:c r="D642" t="str">
        <x:v>Kaki-Kaki</x:v>
      </x:c>
      <x:c r="E642" t="str">
        <x:v>SUPER</x:v>
      </x:c>
      <x:c r="F642" t="str"/>
      <x:c r="G642" s="12" t="n">
        <x:v>45</x:v>
      </x:c>
      <x:c r="H642" s="12" t="n">
        <x:v>45</x:v>
      </x:c>
      <x:c r="I642" s="12" t="n">
        <x:v>0</x:v>
      </x:c>
      <x:c r="J642" s="16" t="n">
        <x:v>0</x:v>
      </x:c>
      <x:c r="K642" s="14" t="n">
        <x:v>1</x:v>
      </x:c>
      <x:c r="L642" s="14" t="n">
        <x:v>1</x:v>
      </x:c>
      <x:c r="M642" t="str">
        <x:v>LOW</x:v>
      </x:c>
      <x:c r="N642" t="str">
        <x:v>AKTIF</x:v>
      </x:c>
      <x:c r="O642" t="str"/>
      <x:c r="P642" t="str"/>
      <x:c r="Q642" t="str"/>
      <x:c r="R642" t="str"/>
      <x:c r="S642" t="str"/>
      <x:c r="T642" t="str"/>
      <x:c r="U642" s="18" t="n">
        <x:v>46134.041666666664</x:v>
      </x:c>
      <x:c r="V642" t="str">
        <x:v>INITIAL_IMPORT</x:v>
      </x:c>
    </x:row>
    <x:row r="643">
      <x:c r="A643" t="str">
        <x:v>PRD-JVS-0642</x:v>
      </x:c>
      <x:c r="B643" t="str">
        <x:v>JVS-0642</x:v>
      </x:c>
      <x:c r="C643" t="str">
        <x:v>Saklar sein Hazard Vespa px XL</x:v>
      </x:c>
      <x:c r="D643" t="str">
        <x:v>Kelistrikan</x:v>
      </x:c>
      <x:c r="E643" t="str">
        <x:v>PX, XL</x:v>
      </x:c>
      <x:c r="F643" t="str"/>
      <x:c r="G643" s="12" t="n">
        <x:v>95</x:v>
      </x:c>
      <x:c r="H643" s="12" t="n">
        <x:v>95</x:v>
      </x:c>
      <x:c r="I643" s="12" t="n">
        <x:v>0</x:v>
      </x:c>
      <x:c r="J643" s="16" t="n">
        <x:v>0</x:v>
      </x:c>
      <x:c r="K643" s="14" t="n">
        <x:v>1</x:v>
      </x:c>
      <x:c r="L643" s="14" t="n">
        <x:v>1</x:v>
      </x:c>
      <x:c r="M643" t="str">
        <x:v>LOW</x:v>
      </x:c>
      <x:c r="N643" t="str">
        <x:v>AKTIF</x:v>
      </x:c>
      <x:c r="O643" t="str"/>
      <x:c r="P643" t="str"/>
      <x:c r="Q643" t="str"/>
      <x:c r="R643" t="str"/>
      <x:c r="S643" t="str"/>
      <x:c r="T643" t="str"/>
      <x:c r="U643" s="18" t="n">
        <x:v>46134.041666666664</x:v>
      </x:c>
      <x:c r="V643" t="str">
        <x:v>INITIAL_IMPORT</x:v>
      </x:c>
    </x:row>
    <x:row r="644">
      <x:c r="A644" t="str">
        <x:v>PRD-JVS-0643</x:v>
      </x:c>
      <x:c r="B644" t="str">
        <x:v>JVS-0643</x:v>
      </x:c>
      <x:c r="C644" t="str">
        <x:v>Saklar Sein Stang Vespa Eclusive, Excel Kabel 3 Import</x:v>
      </x:c>
      <x:c r="D644" t="str">
        <x:v>Kelistrikan</x:v>
      </x:c>
      <x:c r="E644" t="str">
        <x:v>EXCEL</x:v>
      </x:c>
      <x:c r="F644" t="str"/>
      <x:c r="G644" s="12" t="n">
        <x:v>85</x:v>
      </x:c>
      <x:c r="H644" s="12" t="n">
        <x:v>85</x:v>
      </x:c>
      <x:c r="I644" s="12" t="n">
        <x:v>0</x:v>
      </x:c>
      <x:c r="J644" s="16" t="n">
        <x:v>0</x:v>
      </x:c>
      <x:c r="K644" s="14" t="n">
        <x:v>2</x:v>
      </x:c>
      <x:c r="L644" s="14" t="n">
        <x:v>1</x:v>
      </x:c>
      <x:c r="M644" t="str">
        <x:v>READY</x:v>
      </x:c>
      <x:c r="N644" t="str">
        <x:v>AKTIF</x:v>
      </x:c>
      <x:c r="O644" t="str"/>
      <x:c r="P644" t="str"/>
      <x:c r="Q644" t="str"/>
      <x:c r="R644" t="str"/>
      <x:c r="S644" t="str"/>
      <x:c r="T644" t="str"/>
      <x:c r="U644" s="18" t="n">
        <x:v>46134.041666666664</x:v>
      </x:c>
      <x:c r="V644" t="str">
        <x:v>INITIAL_IMPORT</x:v>
      </x:c>
    </x:row>
    <x:row r="645">
      <x:c r="A645" t="str">
        <x:v>PRD-JVS-0644</x:v>
      </x:c>
      <x:c r="B645" t="str">
        <x:v>JVS-0644</x:v>
      </x:c>
      <x:c r="C645" t="str">
        <x:v>Saklar Sein Stang Vespa PX, Eclusive, Excel Kabel 6 Import Vifo</x:v>
      </x:c>
      <x:c r="D645" t="str">
        <x:v>Kelistrikan</x:v>
      </x:c>
      <x:c r="E645" t="str">
        <x:v>EXCEL, PX</x:v>
      </x:c>
      <x:c r="F645" t="str"/>
      <x:c r="G645" s="12" t="n">
        <x:v>85</x:v>
      </x:c>
      <x:c r="H645" s="12" t="n">
        <x:v>85</x:v>
      </x:c>
      <x:c r="I645" s="12" t="n">
        <x:v>0</x:v>
      </x:c>
      <x:c r="J645" s="16" t="n">
        <x:v>0</x:v>
      </x:c>
      <x:c r="K645" s="14" t="n">
        <x:v>1</x:v>
      </x:c>
      <x:c r="L645" s="14" t="n">
        <x:v>1</x:v>
      </x:c>
      <x:c r="M645" t="str">
        <x:v>LOW</x:v>
      </x:c>
      <x:c r="N645" t="str">
        <x:v>AKTIF</x:v>
      </x:c>
      <x:c r="O645" t="str"/>
      <x:c r="P645" t="str"/>
      <x:c r="Q645" t="str"/>
      <x:c r="R645" t="str"/>
      <x:c r="S645" t="str"/>
      <x:c r="T645" t="str"/>
      <x:c r="U645" s="18" t="n">
        <x:v>46134.041666666664</x:v>
      </x:c>
      <x:c r="V645" t="str">
        <x:v>INITIAL_IMPORT</x:v>
      </x:c>
    </x:row>
    <x:row r="646">
      <x:c r="A646" t="str">
        <x:v>PRD-JVS-0645</x:v>
      </x:c>
      <x:c r="B646" t="str">
        <x:v>JVS-0645</x:v>
      </x:c>
      <x:c r="C646" t="str">
        <x:v>Saklar Tombol Starter Vespa Excel Vifo</x:v>
      </x:c>
      <x:c r="D646" t="str">
        <x:v>Kelistrikan</x:v>
      </x:c>
      <x:c r="E646" t="str">
        <x:v>EXCEL</x:v>
      </x:c>
      <x:c r="F646" t="str"/>
      <x:c r="G646" s="12" t="n">
        <x:v>60</x:v>
      </x:c>
      <x:c r="H646" s="12" t="n">
        <x:v>60</x:v>
      </x:c>
      <x:c r="I646" s="12" t="n">
        <x:v>0</x:v>
      </x:c>
      <x:c r="J646" s="16" t="n">
        <x:v>0</x:v>
      </x:c>
      <x:c r="K646" s="14" t="n">
        <x:v>2</x:v>
      </x:c>
      <x:c r="L646" s="14" t="n">
        <x:v>1</x:v>
      </x:c>
      <x:c r="M646" t="str">
        <x:v>READY</x:v>
      </x:c>
      <x:c r="N646" t="str">
        <x:v>AKTIF</x:v>
      </x:c>
      <x:c r="O646" t="str"/>
      <x:c r="P646" t="str"/>
      <x:c r="Q646" t="str"/>
      <x:c r="R646" t="str"/>
      <x:c r="S646" t="str"/>
      <x:c r="T646" t="str"/>
      <x:c r="U646" s="18" t="n">
        <x:v>46134.041666666664</x:v>
      </x:c>
      <x:c r="V646" t="str">
        <x:v>INITIAL_IMPORT</x:v>
      </x:c>
    </x:row>
    <x:row r="647">
      <x:c r="A647" t="str">
        <x:v>PRD-JVS-0646</x:v>
      </x:c>
      <x:c r="B647" t="str">
        <x:v>JVS-0646</x:v>
      </x:c>
      <x:c r="C647" t="str">
        <x:v>Sarung Jok Pisah Bagian Depan Model Chung Super Sprint Cover Jok</x:v>
      </x:c>
      <x:c r="D647" t="str">
        <x:v>Body</x:v>
      </x:c>
      <x:c r="E647" t="str">
        <x:v>SUPER, SPRINT</x:v>
      </x:c>
      <x:c r="F647" t="str"/>
      <x:c r="G647" s="12" t="n">
        <x:v>20</x:v>
      </x:c>
      <x:c r="H647" s="12" t="n">
        <x:v>20</x:v>
      </x:c>
      <x:c r="I647" s="12" t="n">
        <x:v>0</x:v>
      </x:c>
      <x:c r="J647" s="16" t="n">
        <x:v>0</x:v>
      </x:c>
      <x:c r="K647" s="14" t="n">
        <x:v>3</x:v>
      </x:c>
      <x:c r="L647" s="14" t="n">
        <x:v>1</x:v>
      </x:c>
      <x:c r="M647" t="str">
        <x:v>READY</x:v>
      </x:c>
      <x:c r="N647" t="str">
        <x:v>AKTIF</x:v>
      </x:c>
      <x:c r="O647" t="str"/>
      <x:c r="P647" t="str"/>
      <x:c r="Q647" t="str"/>
      <x:c r="R647" t="str"/>
      <x:c r="S647" t="str"/>
      <x:c r="T647" t="str"/>
      <x:c r="U647" s="18" t="n">
        <x:v>46134.041666666664</x:v>
      </x:c>
      <x:c r="V647" t="str">
        <x:v>INITIAL_IMPORT</x:v>
      </x:c>
    </x:row>
    <x:row r="648">
      <x:c r="A648" t="str">
        <x:v>PRD-JVS-0647</x:v>
      </x:c>
      <x:c r="B648" t="str">
        <x:v>JVS-0647</x:v>
      </x:c>
      <x:c r="C648" t="str">
        <x:v>Sarung Jok Pisah Bagian Depan Model Garis PX PXE Cover jok</x:v>
      </x:c>
      <x:c r="D648" t="str">
        <x:v>Body</x:v>
      </x:c>
      <x:c r="E648" t="str">
        <x:v>PXE, PX</x:v>
      </x:c>
      <x:c r="F648" t="str"/>
      <x:c r="G648" s="12" t="n">
        <x:v>20</x:v>
      </x:c>
      <x:c r="H648" s="12" t="n">
        <x:v>20</x:v>
      </x:c>
      <x:c r="I648" s="12" t="n">
        <x:v>0</x:v>
      </x:c>
      <x:c r="J648" s="16" t="n">
        <x:v>0</x:v>
      </x:c>
      <x:c r="K648" s="14" t="n">
        <x:v>3</x:v>
      </x:c>
      <x:c r="L648" s="14" t="n">
        <x:v>1</x:v>
      </x:c>
      <x:c r="M648" t="str">
        <x:v>READY</x:v>
      </x:c>
      <x:c r="N648" t="str">
        <x:v>AKTIF</x:v>
      </x:c>
      <x:c r="O648" t="str"/>
      <x:c r="P648" t="str"/>
      <x:c r="Q648" t="str"/>
      <x:c r="R648" t="str"/>
      <x:c r="S648" t="str"/>
      <x:c r="T648" t="str"/>
      <x:c r="U648" s="18" t="n">
        <x:v>46134.041666666664</x:v>
      </x:c>
      <x:c r="V648" t="str">
        <x:v>INITIAL_IMPORT</x:v>
      </x:c>
    </x:row>
    <x:row r="649">
      <x:c r="A649" t="str">
        <x:v>PRD-JVS-0648</x:v>
      </x:c>
      <x:c r="B649" t="str">
        <x:v>JVS-0648</x:v>
      </x:c>
      <x:c r="C649" t="str">
        <x:v>Sarung Tepong Hitam Kiri Kanan Model Biasa Exclusive</x:v>
      </x:c>
      <x:c r="D649" t="str">
        <x:v>Body</x:v>
      </x:c>
      <x:c r="E649" t="str">
        <x:v>EXCLUSIVE</x:v>
      </x:c>
      <x:c r="F649" t="str"/>
      <x:c r="G649" s="12" t="n">
        <x:v>25</x:v>
      </x:c>
      <x:c r="H649" s="12" t="n">
        <x:v>25</x:v>
      </x:c>
      <x:c r="I649" s="12" t="n">
        <x:v>0</x:v>
      </x:c>
      <x:c r="J649" s="16" t="n">
        <x:v>0</x:v>
      </x:c>
      <x:c r="K649" s="14" t="n">
        <x:v>2</x:v>
      </x:c>
      <x:c r="L649" s="14" t="n">
        <x:v>1</x:v>
      </x:c>
      <x:c r="M649" t="str">
        <x:v>READY</x:v>
      </x:c>
      <x:c r="N649" t="str">
        <x:v>AKTIF</x:v>
      </x:c>
      <x:c r="O649" t="str"/>
      <x:c r="P649" t="str"/>
      <x:c r="Q649" t="str"/>
      <x:c r="R649" t="str"/>
      <x:c r="S649" t="str"/>
      <x:c r="T649" t="str"/>
      <x:c r="U649" s="18" t="n">
        <x:v>46134.041666666664</x:v>
      </x:c>
      <x:c r="V649" t="str">
        <x:v>INITIAL_IMPORT</x:v>
      </x:c>
    </x:row>
    <x:row r="650">
      <x:c r="A650" t="str">
        <x:v>PRD-JVS-0649</x:v>
      </x:c>
      <x:c r="B650" t="str">
        <x:v>JVS-0649</x:v>
      </x:c>
      <x:c r="C650" t="str">
        <x:v>Sarung Tepong Hitam Kiri Kanan Model Biasa P150X</x:v>
      </x:c>
      <x:c r="D650" t="str">
        <x:v>Body</x:v>
      </x:c>
      <x:c r="E650" t="str"/>
      <x:c r="F650" t="str"/>
      <x:c r="G650" s="12" t="n">
        <x:v>25</x:v>
      </x:c>
      <x:c r="H650" s="12" t="n">
        <x:v>25</x:v>
      </x:c>
      <x:c r="I650" s="12" t="n">
        <x:v>0</x:v>
      </x:c>
      <x:c r="J650" s="16" t="n">
        <x:v>0</x:v>
      </x:c>
      <x:c r="K650" s="14" t="n">
        <x:v>1</x:v>
      </x:c>
      <x:c r="L650" s="14" t="n">
        <x:v>1</x:v>
      </x:c>
      <x:c r="M650" t="str">
        <x:v>LOW</x:v>
      </x:c>
      <x:c r="N650" t="str">
        <x:v>AKTIF</x:v>
      </x:c>
      <x:c r="O650" t="str"/>
      <x:c r="P650" t="str"/>
      <x:c r="Q650" t="str"/>
      <x:c r="R650" t="str"/>
      <x:c r="S650" t="str"/>
      <x:c r="T650" t="str"/>
      <x:c r="U650" s="18" t="n">
        <x:v>46134.041666666664</x:v>
      </x:c>
      <x:c r="V650" t="str">
        <x:v>INITIAL_IMPORT</x:v>
      </x:c>
    </x:row>
    <x:row r="651">
      <x:c r="A651" t="str">
        <x:v>PRD-JVS-0650</x:v>
      </x:c>
      <x:c r="B651" t="str">
        <x:v>JVS-0650</x:v>
      </x:c>
      <x:c r="C651" t="str">
        <x:v>Sarung Tepong Hitam Kiri Kanan Model Biasa P150XE Excel</x:v>
      </x:c>
      <x:c r="D651" t="str">
        <x:v>Body</x:v>
      </x:c>
      <x:c r="E651" t="str">
        <x:v>EXCEL</x:v>
      </x:c>
      <x:c r="F651" t="str"/>
      <x:c r="G651" s="12" t="n">
        <x:v>25</x:v>
      </x:c>
      <x:c r="H651" s="12" t="n">
        <x:v>25</x:v>
      </x:c>
      <x:c r="I651" s="12" t="n">
        <x:v>0</x:v>
      </x:c>
      <x:c r="J651" s="16" t="n">
        <x:v>0</x:v>
      </x:c>
      <x:c r="K651" s="14" t="n">
        <x:v>1</x:v>
      </x:c>
      <x:c r="L651" s="14" t="n">
        <x:v>1</x:v>
      </x:c>
      <x:c r="M651" t="str">
        <x:v>LOW</x:v>
      </x:c>
      <x:c r="N651" t="str">
        <x:v>AKTIF</x:v>
      </x:c>
      <x:c r="O651" t="str"/>
      <x:c r="P651" t="str"/>
      <x:c r="Q651" t="str"/>
      <x:c r="R651" t="str"/>
      <x:c r="S651" t="str"/>
      <x:c r="T651" t="str"/>
      <x:c r="U651" s="18" t="n">
        <x:v>46134.041666666664</x:v>
      </x:c>
      <x:c r="V651" t="str">
        <x:v>INITIAL_IMPORT</x:v>
      </x:c>
    </x:row>
    <x:row r="652">
      <x:c r="A652" t="str">
        <x:v>PRD-JVS-0651</x:v>
      </x:c>
      <x:c r="B652" t="str">
        <x:v>JVS-0651</x:v>
      </x:c>
      <x:c r="C652" t="str">
        <x:v>Sarung Tepong Hitam Kiri Kanan Model Biasa Vespa P150S PS Sein</x:v>
      </x:c>
      <x:c r="D652" t="str">
        <x:v>Body</x:v>
      </x:c>
      <x:c r="E652" t="str">
        <x:v>PS</x:v>
      </x:c>
      <x:c r="F652" t="str"/>
      <x:c r="G652" s="12" t="n">
        <x:v>25</x:v>
      </x:c>
      <x:c r="H652" s="12" t="n">
        <x:v>25</x:v>
      </x:c>
      <x:c r="I652" s="12" t="n">
        <x:v>0</x:v>
      </x:c>
      <x:c r="J652" s="16" t="n">
        <x:v>0</x:v>
      </x:c>
      <x:c r="K652" s="14" t="n">
        <x:v>2</x:v>
      </x:c>
      <x:c r="L652" s="14" t="n">
        <x:v>1</x:v>
      </x:c>
      <x:c r="M652" t="str">
        <x:v>READY</x:v>
      </x:c>
      <x:c r="N652" t="str">
        <x:v>AKTIF</x:v>
      </x:c>
      <x:c r="O652" t="str"/>
      <x:c r="P652" t="str"/>
      <x:c r="Q652" t="str"/>
      <x:c r="R652" t="str"/>
      <x:c r="S652" t="str"/>
      <x:c r="T652" t="str"/>
      <x:c r="U652" s="18" t="n">
        <x:v>46134.041666666664</x:v>
      </x:c>
      <x:c r="V652" t="str">
        <x:v>INITIAL_IMPORT</x:v>
      </x:c>
    </x:row>
    <x:row r="653">
      <x:c r="A653" t="str">
        <x:v>PRD-JVS-0652</x:v>
      </x:c>
      <x:c r="B653" t="str">
        <x:v>JVS-0652</x:v>
      </x:c>
      <x:c r="C653" t="str">
        <x:v>Seal As Roda Belakang Bagian Dalam Vespa Excel Import</x:v>
      </x:c>
      <x:c r="D653" t="str">
        <x:v>Kaki-Kaki</x:v>
      </x:c>
      <x:c r="E653" t="str">
        <x:v>EXCEL</x:v>
      </x:c>
      <x:c r="F653" t="str"/>
      <x:c r="G653" s="12" t="n">
        <x:v>15</x:v>
      </x:c>
      <x:c r="H653" s="12" t="n">
        <x:v>15</x:v>
      </x:c>
      <x:c r="I653" s="12" t="n">
        <x:v>0</x:v>
      </x:c>
      <x:c r="J653" s="16" t="n">
        <x:v>0</x:v>
      </x:c>
      <x:c r="K653" s="14" t="n">
        <x:v>5</x:v>
      </x:c>
      <x:c r="L653" s="14" t="n">
        <x:v>1</x:v>
      </x:c>
      <x:c r="M653" t="str">
        <x:v>READY</x:v>
      </x:c>
      <x:c r="N653" t="str">
        <x:v>AKTIF</x:v>
      </x:c>
      <x:c r="O653" t="str"/>
      <x:c r="P653" t="str"/>
      <x:c r="Q653" t="str"/>
      <x:c r="R653" t="str"/>
      <x:c r="S653" t="str"/>
      <x:c r="T653" t="str"/>
      <x:c r="U653" s="18" t="n">
        <x:v>46134.041666666664</x:v>
      </x:c>
      <x:c r="V653" t="str">
        <x:v>INITIAL_IMPORT</x:v>
      </x:c>
    </x:row>
    <x:row r="654">
      <x:c r="A654" t="str">
        <x:v>PRD-JVS-0653</x:v>
      </x:c>
      <x:c r="B654" t="str">
        <x:v>JVS-0653</x:v>
      </x:c>
      <x:c r="C654" t="str">
        <x:v>Seal As Roda Belakang Bagian Dalam Vespa Excel Ori Corteco</x:v>
      </x:c>
      <x:c r="D654" t="str">
        <x:v>Kaki-Kaki</x:v>
      </x:c>
      <x:c r="E654" t="str">
        <x:v>EXCEL</x:v>
      </x:c>
      <x:c r="F654" t="str"/>
      <x:c r="G654" s="12" t="n">
        <x:v>45.5</x:v>
      </x:c>
      <x:c r="H654" s="12" t="n">
        <x:v>45.5</x:v>
      </x:c>
      <x:c r="I654" s="12" t="n">
        <x:v>0</x:v>
      </x:c>
      <x:c r="J654" s="16" t="n">
        <x:v>0</x:v>
      </x:c>
      <x:c r="K654" s="14" t="n">
        <x:v>1</x:v>
      </x:c>
      <x:c r="L654" s="14" t="n">
        <x:v>1</x:v>
      </x:c>
      <x:c r="M654" t="str">
        <x:v>LOW</x:v>
      </x:c>
      <x:c r="N654" t="str">
        <x:v>AKTIF</x:v>
      </x:c>
      <x:c r="O654" t="str"/>
      <x:c r="P654" t="str"/>
      <x:c r="Q654" t="str"/>
      <x:c r="R654" t="str"/>
      <x:c r="S654" t="str"/>
      <x:c r="T654" t="str"/>
      <x:c r="U654" s="18" t="n">
        <x:v>46134.041666666664</x:v>
      </x:c>
      <x:c r="V654" t="str">
        <x:v>INITIAL_IMPORT</x:v>
      </x:c>
    </x:row>
    <x:row r="655">
      <x:c r="A655" t="str">
        <x:v>PRD-JVS-0654</x:v>
      </x:c>
      <x:c r="B655" t="str">
        <x:v>JVS-0654</x:v>
      </x:c>
      <x:c r="C655" t="str">
        <x:v>Seal As Roda Depan Vespa Super</x:v>
      </x:c>
      <x:c r="D655" t="str">
        <x:v>Kaki-Kaki</x:v>
      </x:c>
      <x:c r="E655" t="str">
        <x:v>SUPER</x:v>
      </x:c>
      <x:c r="F655" t="str"/>
      <x:c r="G655" s="12" t="str"/>
      <x:c r="H655" s="12" t="str"/>
      <x:c r="I655" s="12" t="str"/>
      <x:c r="J655" s="16" t="str"/>
      <x:c r="K655" s="14" t="n">
        <x:v>9</x:v>
      </x:c>
      <x:c r="L655" s="14" t="n">
        <x:v>1</x:v>
      </x:c>
      <x:c r="M655" t="str">
        <x:v>READY</x:v>
      </x:c>
      <x:c r="N655" t="str">
        <x:v>AKTIF</x:v>
      </x:c>
      <x:c r="O655" t="str"/>
      <x:c r="P655" t="str"/>
      <x:c r="Q655" t="str"/>
      <x:c r="R655" t="str"/>
      <x:c r="S655" t="str"/>
      <x:c r="T655" t="str"/>
      <x:c r="U655" s="18" t="n">
        <x:v>46134.041666666664</x:v>
      </x:c>
      <x:c r="V655" t="str">
        <x:v>INITIAL_IMPORT</x:v>
      </x:c>
    </x:row>
    <x:row r="656">
      <x:c r="A656" t="str">
        <x:v>PRD-JVS-0655</x:v>
      </x:c>
      <x:c r="B656" t="str">
        <x:v>JVS-0655</x:v>
      </x:c>
      <x:c r="C656" t="str">
        <x:v>Seal Kruk As Excel Set</x:v>
      </x:c>
      <x:c r="D656" t="str">
        <x:v>Mesin</x:v>
      </x:c>
      <x:c r="E656" t="str">
        <x:v>EXCEL</x:v>
      </x:c>
      <x:c r="F656" t="str"/>
      <x:c r="G656" s="12" t="n">
        <x:v>30</x:v>
      </x:c>
      <x:c r="H656" s="12" t="n">
        <x:v>30</x:v>
      </x:c>
      <x:c r="I656" s="12" t="n">
        <x:v>0</x:v>
      </x:c>
      <x:c r="J656" s="16" t="n">
        <x:v>0</x:v>
      </x:c>
      <x:c r="K656" s="14" t="n">
        <x:v>5</x:v>
      </x:c>
      <x:c r="L656" s="14" t="n">
        <x:v>1</x:v>
      </x:c>
      <x:c r="M656" t="str">
        <x:v>READY</x:v>
      </x:c>
      <x:c r="N656" t="str">
        <x:v>AKTIF</x:v>
      </x:c>
      <x:c r="O656" t="str"/>
      <x:c r="P656" t="str"/>
      <x:c r="Q656" t="str"/>
      <x:c r="R656" t="str"/>
      <x:c r="S656" t="str"/>
      <x:c r="T656" t="str"/>
      <x:c r="U656" s="18" t="n">
        <x:v>46134.041666666664</x:v>
      </x:c>
      <x:c r="V656" t="str">
        <x:v>INITIAL_IMPORT</x:v>
      </x:c>
    </x:row>
    <x:row r="657">
      <x:c r="A657" t="str">
        <x:v>PRD-JVS-0656</x:v>
      </x:c>
      <x:c r="B657" t="str">
        <x:v>JVS-0656</x:v>
      </x:c>
      <x:c r="C657" t="str">
        <x:v>Seal Kruk As Vespa PX Set</x:v>
      </x:c>
      <x:c r="D657" t="str">
        <x:v>Mesin</x:v>
      </x:c>
      <x:c r="E657" t="str">
        <x:v>PX</x:v>
      </x:c>
      <x:c r="F657" t="str"/>
      <x:c r="G657" s="12" t="n">
        <x:v>28</x:v>
      </x:c>
      <x:c r="H657" s="12" t="n">
        <x:v>28</x:v>
      </x:c>
      <x:c r="I657" s="12" t="n">
        <x:v>0</x:v>
      </x:c>
      <x:c r="J657" s="16" t="n">
        <x:v>0</x:v>
      </x:c>
      <x:c r="K657" s="14" t="n">
        <x:v>2</x:v>
      </x:c>
      <x:c r="L657" s="14" t="n">
        <x:v>1</x:v>
      </x:c>
      <x:c r="M657" t="str">
        <x:v>READY</x:v>
      </x:c>
      <x:c r="N657" t="str">
        <x:v>AKTIF</x:v>
      </x:c>
      <x:c r="O657" t="str"/>
      <x:c r="P657" t="str"/>
      <x:c r="Q657" t="str"/>
      <x:c r="R657" t="str"/>
      <x:c r="S657" t="str"/>
      <x:c r="T657" t="str"/>
      <x:c r="U657" s="18" t="n">
        <x:v>46134.041666666664</x:v>
      </x:c>
      <x:c r="V657" t="str">
        <x:v>INITIAL_IMPORT</x:v>
      </x:c>
    </x:row>
    <x:row r="658">
      <x:c r="A658" t="str">
        <x:v>PRD-JVS-0657</x:v>
      </x:c>
      <x:c r="B658" t="str">
        <x:v>JVS-0657</x:v>
      </x:c>
      <x:c r="C658" t="str">
        <x:v>Seal Kruk As Vespa Super Set</x:v>
      </x:c>
      <x:c r="D658" t="str">
        <x:v>Mesin</x:v>
      </x:c>
      <x:c r="E658" t="str">
        <x:v>SUPER</x:v>
      </x:c>
      <x:c r="F658" t="str"/>
      <x:c r="G658" s="12" t="n">
        <x:v>28</x:v>
      </x:c>
      <x:c r="H658" s="12" t="n">
        <x:v>28</x:v>
      </x:c>
      <x:c r="I658" s="12" t="n">
        <x:v>0</x:v>
      </x:c>
      <x:c r="J658" s="16" t="n">
        <x:v>0</x:v>
      </x:c>
      <x:c r="K658" s="14" t="n">
        <x:v>5</x:v>
      </x:c>
      <x:c r="L658" s="14" t="n">
        <x:v>1</x:v>
      </x:c>
      <x:c r="M658" t="str">
        <x:v>READY</x:v>
      </x:c>
      <x:c r="N658" t="str">
        <x:v>AKTIF</x:v>
      </x:c>
      <x:c r="O658" t="str"/>
      <x:c r="P658" t="str"/>
      <x:c r="Q658" t="str"/>
      <x:c r="R658" t="str"/>
      <x:c r="S658" t="str"/>
      <x:c r="T658" t="str"/>
      <x:c r="U658" s="18" t="n">
        <x:v>46134.041666666664</x:v>
      </x:c>
      <x:c r="V658" t="str">
        <x:v>INITIAL_IMPORT</x:v>
      </x:c>
    </x:row>
    <x:row r="659">
      <x:c r="A659" t="str">
        <x:v>PRD-JVS-0658</x:v>
      </x:c>
      <x:c r="B659" t="str">
        <x:v>JVS-0658</x:v>
      </x:c>
      <x:c r="C659" t="str">
        <x:v>Seal O Ring Seal Selah Vespa</x:v>
      </x:c>
      <x:c r="D659" t="str">
        <x:v>Mesin</x:v>
      </x:c>
      <x:c r="E659" t="str"/>
      <x:c r="F659" t="str"/>
      <x:c r="G659" s="12" t="n">
        <x:v>5</x:v>
      </x:c>
      <x:c r="H659" s="12" t="n">
        <x:v>5</x:v>
      </x:c>
      <x:c r="I659" s="12" t="n">
        <x:v>0</x:v>
      </x:c>
      <x:c r="J659" s="16" t="n">
        <x:v>0</x:v>
      </x:c>
      <x:c r="K659" s="14" t="n">
        <x:v>15</x:v>
      </x:c>
      <x:c r="L659" s="14" t="n">
        <x:v>1</x:v>
      </x:c>
      <x:c r="M659" t="str">
        <x:v>READY</x:v>
      </x:c>
      <x:c r="N659" t="str">
        <x:v>AKTIF</x:v>
      </x:c>
      <x:c r="O659" t="str"/>
      <x:c r="P659" t="str"/>
      <x:c r="Q659" t="str"/>
      <x:c r="R659" t="str"/>
      <x:c r="S659" t="str"/>
      <x:c r="T659" t="str"/>
      <x:c r="U659" s="18" t="n">
        <x:v>46134.041666666664</x:v>
      </x:c>
      <x:c r="V659" t="str">
        <x:v>INITIAL_IMPORT</x:v>
      </x:c>
    </x:row>
    <x:row r="660">
      <x:c r="A660" t="str">
        <x:v>PRD-JVS-0659</x:v>
      </x:c>
      <x:c r="B660" t="str">
        <x:v>JVS-0659</x:v>
      </x:c>
      <x:c r="C660" t="str">
        <x:v>Seal O Ring Tuas Kopling</x:v>
      </x:c>
      <x:c r="D660" t="str">
        <x:v>Mesin</x:v>
      </x:c>
      <x:c r="E660" t="str"/>
      <x:c r="F660" t="str"/>
      <x:c r="G660" s="12" t="n">
        <x:v>4</x:v>
      </x:c>
      <x:c r="H660" s="12" t="n">
        <x:v>4</x:v>
      </x:c>
      <x:c r="I660" s="12" t="n">
        <x:v>0</x:v>
      </x:c>
      <x:c r="J660" s="16" t="n">
        <x:v>0</x:v>
      </x:c>
      <x:c r="K660" s="14" t="n">
        <x:v>44</x:v>
      </x:c>
      <x:c r="L660" s="14" t="n">
        <x:v>1</x:v>
      </x:c>
      <x:c r="M660" t="str">
        <x:v>READY</x:v>
      </x:c>
      <x:c r="N660" t="str">
        <x:v>AKTIF</x:v>
      </x:c>
      <x:c r="O660" t="str"/>
      <x:c r="P660" t="str"/>
      <x:c r="Q660" t="str"/>
      <x:c r="R660" t="str"/>
      <x:c r="S660" t="str"/>
      <x:c r="T660" t="str"/>
      <x:c r="U660" s="18" t="n">
        <x:v>46134.041666666664</x:v>
      </x:c>
      <x:c r="V660" t="str">
        <x:v>INITIAL_IMPORT</x:v>
      </x:c>
    </x:row>
    <x:row r="661">
      <x:c r="A661" t="str">
        <x:v>PRD-JVS-0660</x:v>
      </x:c>
      <x:c r="B661" t="str">
        <x:v>JVS-0660</x:v>
      </x:c>
      <x:c r="C661" t="str">
        <x:v>Seal O Ring Tutup Kopling Karet</x:v>
      </x:c>
      <x:c r="D661" t="str">
        <x:v>Mesin</x:v>
      </x:c>
      <x:c r="E661" t="str"/>
      <x:c r="F661" t="str"/>
      <x:c r="G661" s="12" t="n">
        <x:v>5</x:v>
      </x:c>
      <x:c r="H661" s="12" t="n">
        <x:v>5</x:v>
      </x:c>
      <x:c r="I661" s="12" t="n">
        <x:v>0</x:v>
      </x:c>
      <x:c r="J661" s="16" t="n">
        <x:v>0</x:v>
      </x:c>
      <x:c r="K661" s="14" t="n">
        <x:v>7</x:v>
      </x:c>
      <x:c r="L661" s="14" t="n">
        <x:v>1</x:v>
      </x:c>
      <x:c r="M661" t="str">
        <x:v>READY</x:v>
      </x:c>
      <x:c r="N661" t="str">
        <x:v>AKTIF</x:v>
      </x:c>
      <x:c r="O661" t="str"/>
      <x:c r="P661" t="str"/>
      <x:c r="Q661" t="str"/>
      <x:c r="R661" t="str"/>
      <x:c r="S661" t="str"/>
      <x:c r="T661" t="str"/>
      <x:c r="U661" s="18" t="n">
        <x:v>46134.041666666664</x:v>
      </x:c>
      <x:c r="V661" t="str">
        <x:v>INITIAL_IMPORT</x:v>
      </x:c>
    </x:row>
    <x:row r="662">
      <x:c r="A662" t="str">
        <x:v>PRD-JVS-0661</x:v>
      </x:c>
      <x:c r="B662" t="str">
        <x:v>JVS-0661</x:v>
      </x:c>
      <x:c r="C662" t="str">
        <x:v>Seal Roda Belakang Kode 27 Super Sprint PX</x:v>
      </x:c>
      <x:c r="D662" t="str">
        <x:v>Kaki-Kaki</x:v>
      </x:c>
      <x:c r="E662" t="str">
        <x:v>PX, SUPER, SPRINT</x:v>
      </x:c>
      <x:c r="F662" t="str"/>
      <x:c r="G662" s="12" t="n">
        <x:v>12</x:v>
      </x:c>
      <x:c r="H662" s="12" t="n">
        <x:v>12</x:v>
      </x:c>
      <x:c r="I662" s="12" t="n">
        <x:v>0</x:v>
      </x:c>
      <x:c r="J662" s="16" t="n">
        <x:v>0</x:v>
      </x:c>
      <x:c r="K662" s="14" t="n">
        <x:v>9</x:v>
      </x:c>
      <x:c r="L662" s="14" t="n">
        <x:v>1</x:v>
      </x:c>
      <x:c r="M662" t="str">
        <x:v>READY</x:v>
      </x:c>
      <x:c r="N662" t="str">
        <x:v>AKTIF</x:v>
      </x:c>
      <x:c r="O662" t="str"/>
      <x:c r="P662" t="str"/>
      <x:c r="Q662" t="str"/>
      <x:c r="R662" t="str"/>
      <x:c r="S662" t="str"/>
      <x:c r="T662" t="str"/>
      <x:c r="U662" s="18" t="n">
        <x:v>46134.041666666664</x:v>
      </x:c>
      <x:c r="V662" t="str">
        <x:v>INITIAL_IMPORT</x:v>
      </x:c>
    </x:row>
    <x:row r="663">
      <x:c r="A663" t="str">
        <x:v>PRD-JVS-0662</x:v>
      </x:c>
      <x:c r="B663" t="str">
        <x:v>JVS-0662</x:v>
      </x:c>
      <x:c r="C663" t="str">
        <x:v>Seal Roda Belakang Kode 30</x:v>
      </x:c>
      <x:c r="D663" t="str">
        <x:v>Kaki-Kaki</x:v>
      </x:c>
      <x:c r="E663" t="str"/>
      <x:c r="F663" t="str"/>
      <x:c r="G663" s="12" t="n">
        <x:v>12</x:v>
      </x:c>
      <x:c r="H663" s="12" t="n">
        <x:v>12</x:v>
      </x:c>
      <x:c r="I663" s="12" t="n">
        <x:v>0</x:v>
      </x:c>
      <x:c r="J663" s="16" t="n">
        <x:v>0</x:v>
      </x:c>
      <x:c r="K663" s="14" t="n">
        <x:v>3</x:v>
      </x:c>
      <x:c r="L663" s="14" t="n">
        <x:v>1</x:v>
      </x:c>
      <x:c r="M663" t="str">
        <x:v>READY</x:v>
      </x:c>
      <x:c r="N663" t="str">
        <x:v>AKTIF</x:v>
      </x:c>
      <x:c r="O663" t="str"/>
      <x:c r="P663" t="str"/>
      <x:c r="Q663" t="str"/>
      <x:c r="R663" t="str"/>
      <x:c r="S663" t="str"/>
      <x:c r="T663" t="str"/>
      <x:c r="U663" s="18" t="n">
        <x:v>46134.041666666664</x:v>
      </x:c>
      <x:c r="V663" t="str">
        <x:v>INITIAL_IMPORT</x:v>
      </x:c>
    </x:row>
    <x:row r="664">
      <x:c r="A664" t="str">
        <x:v>PRD-JVS-0663</x:v>
      </x:c>
      <x:c r="B664" t="str">
        <x:v>JVS-0663</x:v>
      </x:c>
      <x:c r="C664" t="str">
        <x:v>Seal roda Super Tua VBB 27-37-7</x:v>
      </x:c>
      <x:c r="D664" t="str">
        <x:v>Kaki-Kaki</x:v>
      </x:c>
      <x:c r="E664" t="str">
        <x:v>SUPER, VBB</x:v>
      </x:c>
      <x:c r="F664" t="str"/>
      <x:c r="G664" s="12" t="n">
        <x:v>12</x:v>
      </x:c>
      <x:c r="H664" s="12" t="n">
        <x:v>12</x:v>
      </x:c>
      <x:c r="I664" s="12" t="n">
        <x:v>0</x:v>
      </x:c>
      <x:c r="J664" s="16" t="n">
        <x:v>0</x:v>
      </x:c>
      <x:c r="K664" s="14" t="n">
        <x:v>2</x:v>
      </x:c>
      <x:c r="L664" s="14" t="n">
        <x:v>1</x:v>
      </x:c>
      <x:c r="M664" t="str">
        <x:v>READY</x:v>
      </x:c>
      <x:c r="N664" t="str">
        <x:v>AKTIF</x:v>
      </x:c>
      <x:c r="O664" t="str"/>
      <x:c r="P664" t="str"/>
      <x:c r="Q664" t="str"/>
      <x:c r="R664" t="str"/>
      <x:c r="S664" t="str"/>
      <x:c r="T664" t="str"/>
      <x:c r="U664" s="18" t="n">
        <x:v>46134.041666666664</x:v>
      </x:c>
      <x:c r="V664" t="str">
        <x:v>INITIAL_IMPORT</x:v>
      </x:c>
    </x:row>
    <x:row r="665">
      <x:c r="A665" t="str">
        <x:v>PRD-JVS-0664</x:v>
      </x:c>
      <x:c r="B665" t="str">
        <x:v>JVS-0664</x:v>
      </x:c>
      <x:c r="C665" t="str">
        <x:v>Sein Set Vespa Excel EX2 Merk KIWI</x:v>
      </x:c>
      <x:c r="D665" t="str">
        <x:v>Aksesoris</x:v>
      </x:c>
      <x:c r="E665" t="str">
        <x:v>EXCEL</x:v>
      </x:c>
      <x:c r="F665" t="str"/>
      <x:c r="G665" s="12" t="n">
        <x:v>125</x:v>
      </x:c>
      <x:c r="H665" s="12" t="n">
        <x:v>125</x:v>
      </x:c>
      <x:c r="I665" s="12" t="n">
        <x:v>0</x:v>
      </x:c>
      <x:c r="J665" s="16" t="n">
        <x:v>0</x:v>
      </x:c>
      <x:c r="K665" s="14" t="n">
        <x:v>1</x:v>
      </x:c>
      <x:c r="L665" s="14" t="n">
        <x:v>1</x:v>
      </x:c>
      <x:c r="M665" t="str">
        <x:v>LOW</x:v>
      </x:c>
      <x:c r="N665" t="str">
        <x:v>AKTIF</x:v>
      </x:c>
      <x:c r="O665" t="str"/>
      <x:c r="P665" t="str"/>
      <x:c r="Q665" t="str"/>
      <x:c r="R665" t="str"/>
      <x:c r="S665" t="str"/>
      <x:c r="T665" t="str"/>
      <x:c r="U665" s="18" t="n">
        <x:v>46134.041666666664</x:v>
      </x:c>
      <x:c r="V665" t="str">
        <x:v>INITIAL_IMPORT</x:v>
      </x:c>
    </x:row>
    <x:row r="666">
      <x:c r="A666" t="str">
        <x:v>PRD-JVS-0665</x:v>
      </x:c>
      <x:c r="B666" t="str">
        <x:v>JVS-0665</x:v>
      </x:c>
      <x:c r="C666" t="str">
        <x:v>Sein Set Vespa PX Merk KIWI</x:v>
      </x:c>
      <x:c r="D666" t="str">
        <x:v>Aksesoris</x:v>
      </x:c>
      <x:c r="E666" t="str">
        <x:v>PX</x:v>
      </x:c>
      <x:c r="F666" t="str"/>
      <x:c r="G666" s="12" t="n">
        <x:v>125</x:v>
      </x:c>
      <x:c r="H666" s="12" t="n">
        <x:v>125</x:v>
      </x:c>
      <x:c r="I666" s="12" t="n">
        <x:v>0</x:v>
      </x:c>
      <x:c r="J666" s="16" t="n">
        <x:v>0</x:v>
      </x:c>
      <x:c r="K666" s="14" t="n">
        <x:v>1</x:v>
      </x:c>
      <x:c r="L666" s="14" t="n">
        <x:v>1</x:v>
      </x:c>
      <x:c r="M666" t="str">
        <x:v>LOW</x:v>
      </x:c>
      <x:c r="N666" t="str">
        <x:v>AKTIF</x:v>
      </x:c>
      <x:c r="O666" t="str"/>
      <x:c r="P666" t="str"/>
      <x:c r="Q666" t="str"/>
      <x:c r="R666" t="str"/>
      <x:c r="S666" t="str"/>
      <x:c r="T666" t="str"/>
      <x:c r="U666" s="18" t="n">
        <x:v>46134.041666666664</x:v>
      </x:c>
      <x:c r="V666" t="str">
        <x:v>INITIAL_IMPORT</x:v>
      </x:c>
    </x:row>
    <x:row r="667">
      <x:c r="A667" t="str">
        <x:v>PRD-JVS-0666</x:v>
      </x:c>
      <x:c r="B667" t="str">
        <x:v>JVS-0666</x:v>
      </x:c>
      <x:c r="C667" t="str">
        <x:v>Sekering plus kabel aki vespa Excel PXE Danmtor</x:v>
      </x:c>
      <x:c r="D667" t="str">
        <x:v>Kelistrikan</x:v>
      </x:c>
      <x:c r="E667" t="str">
        <x:v>EXCEL, PXE, PX</x:v>
      </x:c>
      <x:c r="F667" t="str"/>
      <x:c r="G667" s="12" t="n">
        <x:v>30</x:v>
      </x:c>
      <x:c r="H667" s="12" t="n">
        <x:v>30</x:v>
      </x:c>
      <x:c r="I667" s="12" t="n">
        <x:v>0</x:v>
      </x:c>
      <x:c r="J667" s="16" t="n">
        <x:v>0</x:v>
      </x:c>
      <x:c r="K667" s="14" t="n">
        <x:v>2</x:v>
      </x:c>
      <x:c r="L667" s="14" t="n">
        <x:v>1</x:v>
      </x:c>
      <x:c r="M667" t="str">
        <x:v>READY</x:v>
      </x:c>
      <x:c r="N667" t="str">
        <x:v>AKTIF</x:v>
      </x:c>
      <x:c r="O667" t="str"/>
      <x:c r="P667" t="str"/>
      <x:c r="Q667" t="str"/>
      <x:c r="R667" t="str"/>
      <x:c r="S667" t="str"/>
      <x:c r="T667" t="str"/>
      <x:c r="U667" s="18" t="n">
        <x:v>46134.041666666664</x:v>
      </x:c>
      <x:c r="V667" t="str">
        <x:v>INITIAL_IMPORT</x:v>
      </x:c>
    </x:row>
    <x:row r="668">
      <x:c r="A668" t="str">
        <x:v>PRD-JVS-0667</x:v>
      </x:c>
      <x:c r="B668" t="str">
        <x:v>JVS-0667</x:v>
      </x:c>
      <x:c r="C668" t="str">
        <x:v>Selah Vespa Super</x:v>
      </x:c>
      <x:c r="D668" t="str">
        <x:v>Mesin</x:v>
      </x:c>
      <x:c r="E668" t="str">
        <x:v>SUPER</x:v>
      </x:c>
      <x:c r="F668" t="str"/>
      <x:c r="G668" s="12" t="n">
        <x:v>75</x:v>
      </x:c>
      <x:c r="H668" s="12" t="n">
        <x:v>75</x:v>
      </x:c>
      <x:c r="I668" s="12" t="n">
        <x:v>0</x:v>
      </x:c>
      <x:c r="J668" s="16" t="n">
        <x:v>0</x:v>
      </x:c>
      <x:c r="K668" s="14" t="n">
        <x:v>3</x:v>
      </x:c>
      <x:c r="L668" s="14" t="n">
        <x:v>1</x:v>
      </x:c>
      <x:c r="M668" t="str">
        <x:v>READY</x:v>
      </x:c>
      <x:c r="N668" t="str">
        <x:v>AKTIF</x:v>
      </x:c>
      <x:c r="O668" t="str"/>
      <x:c r="P668" t="str"/>
      <x:c r="Q668" t="str"/>
      <x:c r="R668" t="str"/>
      <x:c r="S668" t="str"/>
      <x:c r="T668" t="str"/>
      <x:c r="U668" s="18" t="n">
        <x:v>46134.041666666664</x:v>
      </x:c>
      <x:c r="V668" t="str">
        <x:v>INITIAL_IMPORT</x:v>
      </x:c>
    </x:row>
    <x:row r="669">
      <x:c r="A669" t="str">
        <x:v>PRD-JVS-0668</x:v>
      </x:c>
      <x:c r="B669" t="str">
        <x:v>JVS-0668</x:v>
      </x:c>
      <x:c r="C669" t="str">
        <x:v>Selah Vespa PX</x:v>
      </x:c>
      <x:c r="D669" t="str">
        <x:v>Mesin</x:v>
      </x:c>
      <x:c r="E669" t="str">
        <x:v>PX</x:v>
      </x:c>
      <x:c r="F669" t="str"/>
      <x:c r="G669" s="12" t="n">
        <x:v>75</x:v>
      </x:c>
      <x:c r="H669" s="12" t="n">
        <x:v>75</x:v>
      </x:c>
      <x:c r="I669" s="12" t="n">
        <x:v>0</x:v>
      </x:c>
      <x:c r="J669" s="16" t="n">
        <x:v>0</x:v>
      </x:c>
      <x:c r="K669" s="14" t="n">
        <x:v>3</x:v>
      </x:c>
      <x:c r="L669" s="14" t="n">
        <x:v>1</x:v>
      </x:c>
      <x:c r="M669" t="str">
        <x:v>READY</x:v>
      </x:c>
      <x:c r="N669" t="str">
        <x:v>AKTIF</x:v>
      </x:c>
      <x:c r="O669" t="str"/>
      <x:c r="P669" t="str"/>
      <x:c r="Q669" t="str"/>
      <x:c r="R669" t="str"/>
      <x:c r="S669" t="str"/>
      <x:c r="T669" t="str"/>
      <x:c r="U669" s="18" t="n">
        <x:v>46134.041666666664</x:v>
      </x:c>
      <x:c r="V669" t="str">
        <x:v>INITIAL_IMPORT</x:v>
      </x:c>
    </x:row>
    <x:row r="670">
      <x:c r="A670" t="str">
        <x:v>PRD-JVS-0669</x:v>
      </x:c>
      <x:c r="B670" t="str">
        <x:v>JVS-0669</x:v>
      </x:c>
      <x:c r="C670" t="str">
        <x:v>Selang Bensin Original Danmotor</x:v>
      </x:c>
      <x:c r="D670" t="str">
        <x:v>Servis</x:v>
      </x:c>
      <x:c r="E670" t="str"/>
      <x:c r="F670" t="str"/>
      <x:c r="G670" s="12" t="n">
        <x:v>45</x:v>
      </x:c>
      <x:c r="H670" s="12" t="n">
        <x:v>45</x:v>
      </x:c>
      <x:c r="I670" s="12" t="n">
        <x:v>0</x:v>
      </x:c>
      <x:c r="J670" s="16" t="n">
        <x:v>0</x:v>
      </x:c>
      <x:c r="K670" s="14" t="n">
        <x:v>3</x:v>
      </x:c>
      <x:c r="L670" s="14" t="n">
        <x:v>1</x:v>
      </x:c>
      <x:c r="M670" t="str">
        <x:v>READY</x:v>
      </x:c>
      <x:c r="N670" t="str">
        <x:v>AKTIF</x:v>
      </x:c>
      <x:c r="O670" t="str"/>
      <x:c r="P670" t="str"/>
      <x:c r="Q670" t="str"/>
      <x:c r="R670" t="str"/>
      <x:c r="S670" t="str"/>
      <x:c r="T670" t="str"/>
      <x:c r="U670" s="18" t="n">
        <x:v>46134.041666666664</x:v>
      </x:c>
      <x:c r="V670" t="str">
        <x:v>INITIAL_IMPORT</x:v>
      </x:c>
    </x:row>
    <x:row r="671">
      <x:c r="A671" t="str">
        <x:v>PRD-JVS-0670</x:v>
      </x:c>
      <x:c r="B671" t="str">
        <x:v>JVS-0670</x:v>
      </x:c>
      <x:c r="C671" t="str">
        <x:v>Selang Bensin Spiral Vespa</x:v>
      </x:c>
      <x:c r="D671" t="str">
        <x:v>Servis</x:v>
      </x:c>
      <x:c r="E671" t="str"/>
      <x:c r="F671" t="str"/>
      <x:c r="G671" s="12" t="n">
        <x:v>45</x:v>
      </x:c>
      <x:c r="H671" s="12" t="n">
        <x:v>45</x:v>
      </x:c>
      <x:c r="I671" s="12" t="n">
        <x:v>0</x:v>
      </x:c>
      <x:c r="J671" s="16" t="n">
        <x:v>0</x:v>
      </x:c>
      <x:c r="K671" s="14" t="n">
        <x:v>1</x:v>
      </x:c>
      <x:c r="L671" s="14" t="n">
        <x:v>1</x:v>
      </x:c>
      <x:c r="M671" t="str">
        <x:v>LOW</x:v>
      </x:c>
      <x:c r="N671" t="str">
        <x:v>AKTIF</x:v>
      </x:c>
      <x:c r="O671" t="str"/>
      <x:c r="P671" t="str"/>
      <x:c r="Q671" t="str"/>
      <x:c r="R671" t="str"/>
      <x:c r="S671" t="str"/>
      <x:c r="T671" t="str"/>
      <x:c r="U671" s="18" t="n">
        <x:v>46134.041666666664</x:v>
      </x:c>
      <x:c r="V671" t="str">
        <x:v>INITIAL_IMPORT</x:v>
      </x:c>
    </x:row>
    <x:row r="672">
      <x:c r="A672" t="str">
        <x:v>PRD-JVS-0671</x:v>
      </x:c>
      <x:c r="B672" t="str">
        <x:v>JVS-0671</x:v>
      </x:c>
      <x:c r="C672" t="str">
        <x:v>Selang Bensin Vespa Biasa</x:v>
      </x:c>
      <x:c r="D672" t="str">
        <x:v>Servis</x:v>
      </x:c>
      <x:c r="E672" t="str"/>
      <x:c r="F672" t="str"/>
      <x:c r="G672" s="12" t="n">
        <x:v>15</x:v>
      </x:c>
      <x:c r="H672" s="12" t="n">
        <x:v>15</x:v>
      </x:c>
      <x:c r="I672" s="12" t="n">
        <x:v>0</x:v>
      </x:c>
      <x:c r="J672" s="16" t="n">
        <x:v>0</x:v>
      </x:c>
      <x:c r="K672" s="14" t="n">
        <x:v>2</x:v>
      </x:c>
      <x:c r="L672" s="14" t="n">
        <x:v>1</x:v>
      </x:c>
      <x:c r="M672" t="str">
        <x:v>READY</x:v>
      </x:c>
      <x:c r="N672" t="str">
        <x:v>AKTIF</x:v>
      </x:c>
      <x:c r="O672" t="str"/>
      <x:c r="P672" t="str"/>
      <x:c r="Q672" t="str"/>
      <x:c r="R672" t="str"/>
      <x:c r="S672" t="str"/>
      <x:c r="T672" t="str"/>
      <x:c r="U672" s="18" t="n">
        <x:v>46134.041666666664</x:v>
      </x:c>
      <x:c r="V672" t="str">
        <x:v>INITIAL_IMPORT</x:v>
      </x:c>
    </x:row>
    <x:row r="673">
      <x:c r="A673" t="str">
        <x:v>PRD-JVS-0672</x:v>
      </x:c>
      <x:c r="B673" t="str">
        <x:v>JVS-0672</x:v>
      </x:c>
      <x:c r="C673" t="str">
        <x:v>Selang Oli Samping Vespa PXE Danmotor</x:v>
      </x:c>
      <x:c r="D673" t="str">
        <x:v>Servis</x:v>
      </x:c>
      <x:c r="E673" t="str">
        <x:v>PXE, PX</x:v>
      </x:c>
      <x:c r="F673" t="str"/>
      <x:c r="G673" s="12" t="n">
        <x:v>18</x:v>
      </x:c>
      <x:c r="H673" s="12" t="n">
        <x:v>18</x:v>
      </x:c>
      <x:c r="I673" s="12" t="n">
        <x:v>0</x:v>
      </x:c>
      <x:c r="J673" s="16" t="n">
        <x:v>0</x:v>
      </x:c>
      <x:c r="K673" s="14" t="n">
        <x:v>2</x:v>
      </x:c>
      <x:c r="L673" s="14" t="n">
        <x:v>1</x:v>
      </x:c>
      <x:c r="M673" t="str">
        <x:v>READY</x:v>
      </x:c>
      <x:c r="N673" t="str">
        <x:v>AKTIF</x:v>
      </x:c>
      <x:c r="O673" t="str"/>
      <x:c r="P673" t="str"/>
      <x:c r="Q673" t="str"/>
      <x:c r="R673" t="str"/>
      <x:c r="S673" t="str"/>
      <x:c r="T673" t="str"/>
      <x:c r="U673" s="18" t="n">
        <x:v>46134.041666666664</x:v>
      </x:c>
      <x:c r="V673" t="str">
        <x:v>INITIAL_IMPORT</x:v>
      </x:c>
    </x:row>
    <x:row r="674">
      <x:c r="A674" t="str">
        <x:v>PRD-JVS-0673</x:v>
      </x:c>
      <x:c r="B674" t="str">
        <x:v>JVS-0673</x:v>
      </x:c>
      <x:c r="C674" t="str">
        <x:v>Sepatu Standar Tengah Karet Model VBB Sprint Panjang</x:v>
      </x:c>
      <x:c r="D674" t="str">
        <x:v>Kaki-Kaki</x:v>
      </x:c>
      <x:c r="E674" t="str">
        <x:v>SPRINT, VBB</x:v>
      </x:c>
      <x:c r="F674" t="str"/>
      <x:c r="G674" s="12" t="n">
        <x:v>35</x:v>
      </x:c>
      <x:c r="H674" s="12" t="n">
        <x:v>35</x:v>
      </x:c>
      <x:c r="I674" s="12" t="n">
        <x:v>0</x:v>
      </x:c>
      <x:c r="J674" s="16" t="n">
        <x:v>0</x:v>
      </x:c>
      <x:c r="K674" s="14" t="n">
        <x:v>2</x:v>
      </x:c>
      <x:c r="L674" s="14" t="n">
        <x:v>1</x:v>
      </x:c>
      <x:c r="M674" t="str">
        <x:v>READY</x:v>
      </x:c>
      <x:c r="N674" t="str">
        <x:v>AKTIF</x:v>
      </x:c>
      <x:c r="O674" t="str"/>
      <x:c r="P674" t="str"/>
      <x:c r="Q674" t="str"/>
      <x:c r="R674" t="str"/>
      <x:c r="S674" t="str"/>
      <x:c r="T674" t="str"/>
      <x:c r="U674" s="18" t="n">
        <x:v>46134.041666666664</x:v>
      </x:c>
      <x:c r="V674" t="str">
        <x:v>INITIAL_IMPORT</x:v>
      </x:c>
    </x:row>
    <x:row r="675">
      <x:c r="A675" t="str">
        <x:v>PRD-JVS-0674</x:v>
      </x:c>
      <x:c r="B675" t="str">
        <x:v>JVS-0674</x:v>
      </x:c>
      <x:c r="C675" t="str">
        <x:v>Sepatu Standar Tengah Set Model SIP Chrome</x:v>
      </x:c>
      <x:c r="D675" t="str">
        <x:v>Kaki-Kaki</x:v>
      </x:c>
      <x:c r="E675" t="str"/>
      <x:c r="F675" t="str"/>
      <x:c r="G675" s="12" t="n">
        <x:v>45</x:v>
      </x:c>
      <x:c r="H675" s="12" t="n">
        <x:v>45</x:v>
      </x:c>
      <x:c r="I675" s="12" t="n">
        <x:v>0</x:v>
      </x:c>
      <x:c r="J675" s="16" t="n">
        <x:v>0</x:v>
      </x:c>
      <x:c r="K675" s="14" t="n">
        <x:v>3</x:v>
      </x:c>
      <x:c r="L675" s="14" t="n">
        <x:v>1</x:v>
      </x:c>
      <x:c r="M675" t="str">
        <x:v>READY</x:v>
      </x:c>
      <x:c r="N675" t="str">
        <x:v>AKTIF</x:v>
      </x:c>
      <x:c r="O675" t="str"/>
      <x:c r="P675" t="str"/>
      <x:c r="Q675" t="str"/>
      <x:c r="R675" t="str"/>
      <x:c r="S675" t="str"/>
      <x:c r="T675" t="str"/>
      <x:c r="U675" s="18" t="n">
        <x:v>46134.041666666664</x:v>
      </x:c>
      <x:c r="V675" t="str">
        <x:v>INITIAL_IMPORT</x:v>
      </x:c>
    </x:row>
    <x:row r="676">
      <x:c r="A676" t="str">
        <x:v>PRD-JVS-0675</x:v>
      </x:c>
      <x:c r="B676" t="str">
        <x:v>JVS-0675</x:v>
      </x:c>
      <x:c r="C676" t="str">
        <x:v>Sepatu Standar Tengah Set Robot/ Besi Hitam</x:v>
      </x:c>
      <x:c r="D676" t="str">
        <x:v>Kaki-Kaki</x:v>
      </x:c>
      <x:c r="E676" t="str"/>
      <x:c r="F676" t="str"/>
      <x:c r="G676" s="12" t="n">
        <x:v>35</x:v>
      </x:c>
      <x:c r="H676" s="12" t="n">
        <x:v>35</x:v>
      </x:c>
      <x:c r="I676" s="12" t="n">
        <x:v>0</x:v>
      </x:c>
      <x:c r="J676" s="16" t="n">
        <x:v>0</x:v>
      </x:c>
      <x:c r="K676" s="14" t="n">
        <x:v>5</x:v>
      </x:c>
      <x:c r="L676" s="14" t="n">
        <x:v>1</x:v>
      </x:c>
      <x:c r="M676" t="str">
        <x:v>READY</x:v>
      </x:c>
      <x:c r="N676" t="str">
        <x:v>AKTIF</x:v>
      </x:c>
      <x:c r="O676" t="str"/>
      <x:c r="P676" t="str"/>
      <x:c r="Q676" t="str"/>
      <x:c r="R676" t="str"/>
      <x:c r="S676" t="str"/>
      <x:c r="T676" t="str"/>
      <x:c r="U676" s="18" t="n">
        <x:v>46134.041666666664</x:v>
      </x:c>
      <x:c r="V676" t="str">
        <x:v>INITIAL_IMPORT</x:v>
      </x:c>
    </x:row>
    <x:row r="677">
      <x:c r="A677" t="str">
        <x:v>PRD-JVS-0676</x:v>
      </x:c>
      <x:c r="B677" t="str">
        <x:v>JVS-0676</x:v>
      </x:c>
      <x:c r="C677" t="str">
        <x:v>Sepatu Standar Tengah Set Robot/ Besi Polish</x:v>
      </x:c>
      <x:c r="D677" t="str">
        <x:v>Kaki-Kaki</x:v>
      </x:c>
      <x:c r="E677" t="str"/>
      <x:c r="F677" t="str"/>
      <x:c r="G677" s="12" t="n">
        <x:v>35</x:v>
      </x:c>
      <x:c r="H677" s="12" t="n">
        <x:v>35</x:v>
      </x:c>
      <x:c r="I677" s="12" t="n">
        <x:v>0</x:v>
      </x:c>
      <x:c r="J677" s="16" t="n">
        <x:v>0</x:v>
      </x:c>
      <x:c r="K677" s="14" t="n">
        <x:v>4</x:v>
      </x:c>
      <x:c r="L677" s="14" t="n">
        <x:v>1</x:v>
      </x:c>
      <x:c r="M677" t="str">
        <x:v>READY</x:v>
      </x:c>
      <x:c r="N677" t="str">
        <x:v>AKTIF</x:v>
      </x:c>
      <x:c r="O677" t="str"/>
      <x:c r="P677" t="str"/>
      <x:c r="Q677" t="str"/>
      <x:c r="R677" t="str"/>
      <x:c r="S677" t="str"/>
      <x:c r="T677" t="str"/>
      <x:c r="U677" s="18" t="n">
        <x:v>46134.041666666664</x:v>
      </x:c>
      <x:c r="V677" t="str">
        <x:v>INITIAL_IMPORT</x:v>
      </x:c>
    </x:row>
    <x:row r="678">
      <x:c r="A678" t="str">
        <x:v>PRD-JVS-0677</x:v>
      </x:c>
      <x:c r="B678" t="str">
        <x:v>JVS-0677</x:v>
      </x:c>
      <x:c r="C678" t="str">
        <x:v>Shock Depan coil spring Scarlet Vespa Super Sprint PS Chrome</x:v>
      </x:c>
      <x:c r="D678" t="str">
        <x:v>Kaki-Kaki</x:v>
      </x:c>
      <x:c r="E678" t="str">
        <x:v>SUPER, SPRINT, PS</x:v>
      </x:c>
      <x:c r="F678" t="str"/>
      <x:c r="G678" s="12" t="n">
        <x:v>340</x:v>
      </x:c>
      <x:c r="H678" s="12" t="n">
        <x:v>340</x:v>
      </x:c>
      <x:c r="I678" s="12" t="n">
        <x:v>0</x:v>
      </x:c>
      <x:c r="J678" s="16" t="n">
        <x:v>0</x:v>
      </x:c>
      <x:c r="K678" s="14" t="n">
        <x:v>0</x:v>
      </x:c>
      <x:c r="L678" s="14" t="n">
        <x:v>1</x:v>
      </x:c>
      <x:c r="M678" t="str">
        <x:v>OUT OF STOCK</x:v>
      </x:c>
      <x:c r="N678" t="str">
        <x:v>AKTIF</x:v>
      </x:c>
      <x:c r="O678" t="str"/>
      <x:c r="P678" t="str"/>
      <x:c r="Q678" t="str"/>
      <x:c r="R678" t="str"/>
      <x:c r="S678" t="str"/>
      <x:c r="T678" t="str"/>
      <x:c r="U678" s="18" t="n">
        <x:v>46134.041666666664</x:v>
      </x:c>
      <x:c r="V678" t="str">
        <x:v>INITIAL_IMPORT</x:v>
      </x:c>
    </x:row>
    <x:row r="679">
      <x:c r="A679" t="str">
        <x:v>PRD-JVS-0678</x:v>
      </x:c>
      <x:c r="B679" t="str">
        <x:v>JVS-0678</x:v>
      </x:c>
      <x:c r="C679" t="str">
        <x:v>Shock Depan Vespa Super, Sprint, PS Kayaba</x:v>
      </x:c>
      <x:c r="D679" t="str">
        <x:v>Kaki-Kaki</x:v>
      </x:c>
      <x:c r="E679" t="str">
        <x:v>SUPER, SPRINT, PS</x:v>
      </x:c>
      <x:c r="F679" t="str"/>
      <x:c r="G679" s="12" t="n">
        <x:v>250</x:v>
      </x:c>
      <x:c r="H679" s="12" t="n">
        <x:v>250</x:v>
      </x:c>
      <x:c r="I679" s="12" t="n">
        <x:v>0</x:v>
      </x:c>
      <x:c r="J679" s="16" t="n">
        <x:v>0</x:v>
      </x:c>
      <x:c r="K679" s="14" t="n">
        <x:v>1</x:v>
      </x:c>
      <x:c r="L679" s="14" t="n">
        <x:v>1</x:v>
      </x:c>
      <x:c r="M679" t="str">
        <x:v>LOW</x:v>
      </x:c>
      <x:c r="N679" t="str">
        <x:v>AKTIF</x:v>
      </x:c>
      <x:c r="O679" t="str"/>
      <x:c r="P679" t="str"/>
      <x:c r="Q679" t="str"/>
      <x:c r="R679" t="str"/>
      <x:c r="S679" t="str"/>
      <x:c r="T679" t="str"/>
      <x:c r="U679" s="18" t="n">
        <x:v>46134.041666666664</x:v>
      </x:c>
      <x:c r="V679" t="str">
        <x:v>INITIAL_IMPORT</x:v>
      </x:c>
    </x:row>
    <x:row r="680">
      <x:c r="A680" t="str">
        <x:v>PRD-JVS-0679</x:v>
      </x:c>
      <x:c r="B680" t="str">
        <x:v>JVS-0679</x:v>
      </x:c>
      <x:c r="C680" t="str">
        <x:v>Shock Depan Vespa Super, Sprint, PS Lokal</x:v>
      </x:c>
      <x:c r="D680" t="str">
        <x:v>Kaki-Kaki</x:v>
      </x:c>
      <x:c r="E680" t="str">
        <x:v>SUPER, SPRINT, PS</x:v>
      </x:c>
      <x:c r="F680" t="str"/>
      <x:c r="G680" s="12" t="n">
        <x:v>125</x:v>
      </x:c>
      <x:c r="H680" s="12" t="n">
        <x:v>125</x:v>
      </x:c>
      <x:c r="I680" s="12" t="n">
        <x:v>0</x:v>
      </x:c>
      <x:c r="J680" s="16" t="n">
        <x:v>0</x:v>
      </x:c>
      <x:c r="K680" s="14" t="n">
        <x:v>0</x:v>
      </x:c>
      <x:c r="L680" s="14" t="n">
        <x:v>1</x:v>
      </x:c>
      <x:c r="M680" t="str">
        <x:v>OUT OF STOCK</x:v>
      </x:c>
      <x:c r="N680" t="str">
        <x:v>AKTIF</x:v>
      </x:c>
      <x:c r="O680" t="str"/>
      <x:c r="P680" t="str"/>
      <x:c r="Q680" t="str"/>
      <x:c r="R680" t="str"/>
      <x:c r="S680" t="str"/>
      <x:c r="T680" t="str"/>
      <x:c r="U680" s="18" t="n">
        <x:v>46134.041666666664</x:v>
      </x:c>
      <x:c r="V680" t="str">
        <x:v>INITIAL_IMPORT</x:v>
      </x:c>
    </x:row>
    <x:row r="681">
      <x:c r="A681" t="str">
        <x:v>PRD-JVS-0680</x:v>
      </x:c>
      <x:c r="B681" t="str">
        <x:v>JVS-0680</x:v>
      </x:c>
      <x:c r="C681" t="str">
        <x:v>Shockbreaker belakang vespa largeframe Isi saja Dumper KYB</x:v>
      </x:c>
      <x:c r="D681" t="str">
        <x:v>Kaki-Kaki</x:v>
      </x:c>
      <x:c r="E681" t="str"/>
      <x:c r="F681" t="str"/>
      <x:c r="G681" s="12" t="n">
        <x:v>225</x:v>
      </x:c>
      <x:c r="H681" s="12" t="n">
        <x:v>225</x:v>
      </x:c>
      <x:c r="I681" s="12" t="n">
        <x:v>0</x:v>
      </x:c>
      <x:c r="J681" s="16" t="n">
        <x:v>0</x:v>
      </x:c>
      <x:c r="K681" s="14" t="n">
        <x:v>1</x:v>
      </x:c>
      <x:c r="L681" s="14" t="n">
        <x:v>1</x:v>
      </x:c>
      <x:c r="M681" t="str">
        <x:v>LOW</x:v>
      </x:c>
      <x:c r="N681" t="str">
        <x:v>AKTIF</x:v>
      </x:c>
      <x:c r="O681" t="str"/>
      <x:c r="P681" t="str"/>
      <x:c r="Q681" t="str"/>
      <x:c r="R681" t="str"/>
      <x:c r="S681" t="str"/>
      <x:c r="T681" t="str"/>
      <x:c r="U681" s="18" t="n">
        <x:v>46134.041666666664</x:v>
      </x:c>
      <x:c r="V681" t="str">
        <x:v>INITIAL_IMPORT</x:v>
      </x:c>
    </x:row>
    <x:row r="682">
      <x:c r="A682" t="str">
        <x:v>PRD-JVS-0681</x:v>
      </x:c>
      <x:c r="B682" t="str">
        <x:v>JVS-0681</x:v>
      </x:c>
      <x:c r="C682" t="str">
        <x:v>Shockbreaker belakang vespa largeframe PX Super KYB</x:v>
      </x:c>
      <x:c r="D682" t="str">
        <x:v>Kaki-Kaki</x:v>
      </x:c>
      <x:c r="E682" t="str">
        <x:v>PX, SUPER</x:v>
      </x:c>
      <x:c r="F682" t="str"/>
      <x:c r="G682" s="12" t="n">
        <x:v>300</x:v>
      </x:c>
      <x:c r="H682" s="12" t="n">
        <x:v>300</x:v>
      </x:c>
      <x:c r="I682" s="12" t="n">
        <x:v>0</x:v>
      </x:c>
      <x:c r="J682" s="16" t="n">
        <x:v>0</x:v>
      </x:c>
      <x:c r="K682" s="14" t="n">
        <x:v>2</x:v>
      </x:c>
      <x:c r="L682" s="14" t="n">
        <x:v>1</x:v>
      </x:c>
      <x:c r="M682" t="str">
        <x:v>READY</x:v>
      </x:c>
      <x:c r="N682" t="str">
        <x:v>AKTIF</x:v>
      </x:c>
      <x:c r="O682" t="str"/>
      <x:c r="P682" t="str"/>
      <x:c r="Q682" t="str"/>
      <x:c r="R682" t="str"/>
      <x:c r="S682" t="str"/>
      <x:c r="T682" t="str"/>
      <x:c r="U682" s="18" t="n">
        <x:v>46134.041666666664</x:v>
      </x:c>
      <x:c r="V682" t="str">
        <x:v>INITIAL_IMPORT</x:v>
      </x:c>
    </x:row>
    <x:row r="683">
      <x:c r="A683" t="str">
        <x:v>PRD-JVS-0682</x:v>
      </x:c>
      <x:c r="B683" t="str">
        <x:v>JVS-0682</x:v>
      </x:c>
      <x:c r="C683" t="str">
        <x:v>Shockbreaker belakang vespa largeframe spartan Excel KYB</x:v>
      </x:c>
      <x:c r="D683" t="str">
        <x:v>Kaki-Kaki</x:v>
      </x:c>
      <x:c r="E683" t="str">
        <x:v>EXCEL, SPARTAN</x:v>
      </x:c>
      <x:c r="F683" t="str"/>
      <x:c r="G683" s="12" t="n">
        <x:v>320</x:v>
      </x:c>
      <x:c r="H683" s="12" t="n">
        <x:v>320</x:v>
      </x:c>
      <x:c r="I683" s="12" t="n">
        <x:v>0</x:v>
      </x:c>
      <x:c r="J683" s="16" t="n">
        <x:v>0</x:v>
      </x:c>
      <x:c r="K683" s="14" t="n">
        <x:v>0</x:v>
      </x:c>
      <x:c r="L683" s="14" t="n">
        <x:v>1</x:v>
      </x:c>
      <x:c r="M683" t="str">
        <x:v>OUT OF STOCK</x:v>
      </x:c>
      <x:c r="N683" t="str">
        <x:v>AKTIF</x:v>
      </x:c>
      <x:c r="O683" t="str"/>
      <x:c r="P683" t="str"/>
      <x:c r="Q683" t="str"/>
      <x:c r="R683" t="str"/>
      <x:c r="S683" t="str"/>
      <x:c r="T683" t="str"/>
      <x:c r="U683" s="18" t="n">
        <x:v>46134.041666666664</x:v>
      </x:c>
      <x:c r="V683" t="str">
        <x:v>INITIAL_IMPORT</x:v>
      </x:c>
    </x:row>
    <x:row r="684">
      <x:c r="A684" t="str">
        <x:v>PRD-JVS-0683</x:v>
      </x:c>
      <x:c r="B684" t="str">
        <x:v>JVS-0683</x:v>
      </x:c>
      <x:c r="C684" t="str">
        <x:v>Shockbreaker Depan vespa largeframe PX Excel KYB</x:v>
      </x:c>
      <x:c r="D684" t="str">
        <x:v>Kaki-Kaki</x:v>
      </x:c>
      <x:c r="E684" t="str">
        <x:v>EXCEL, PX</x:v>
      </x:c>
      <x:c r="F684" t="str"/>
      <x:c r="G684" s="12" t="n">
        <x:v>400</x:v>
      </x:c>
      <x:c r="H684" s="12" t="n">
        <x:v>400</x:v>
      </x:c>
      <x:c r="I684" s="12" t="n">
        <x:v>0</x:v>
      </x:c>
      <x:c r="J684" s="16" t="n">
        <x:v>0</x:v>
      </x:c>
      <x:c r="K684" s="14" t="n">
        <x:v>1</x:v>
      </x:c>
      <x:c r="L684" s="14" t="n">
        <x:v>1</x:v>
      </x:c>
      <x:c r="M684" t="str">
        <x:v>LOW</x:v>
      </x:c>
      <x:c r="N684" t="str">
        <x:v>AKTIF</x:v>
      </x:c>
      <x:c r="O684" t="str"/>
      <x:c r="P684" t="str"/>
      <x:c r="Q684" t="str"/>
      <x:c r="R684" t="str"/>
      <x:c r="S684" t="str"/>
      <x:c r="T684" t="str"/>
      <x:c r="U684" s="18" t="n">
        <x:v>46134.041666666664</x:v>
      </x:c>
      <x:c r="V684" t="str">
        <x:v>INITIAL_IMPORT</x:v>
      </x:c>
    </x:row>
    <x:row r="685">
      <x:c r="A685" t="str">
        <x:v>PRD-JVS-0684</x:v>
      </x:c>
      <x:c r="B685" t="str">
        <x:v>JVS-0684</x:v>
      </x:c>
      <x:c r="C685" t="str">
        <x:v>Sirip Oli Pesawat</x:v>
      </x:c>
      <x:c r="D685" t="str">
        <x:v>Servis</x:v>
      </x:c>
      <x:c r="E685" t="str"/>
      <x:c r="F685" t="str"/>
      <x:c r="G685" s="12" t="str"/>
      <x:c r="H685" s="12" t="str"/>
      <x:c r="I685" s="12" t="str"/>
      <x:c r="J685" s="16" t="str"/>
      <x:c r="K685" s="14" t="n">
        <x:v>9</x:v>
      </x:c>
      <x:c r="L685" s="14" t="n">
        <x:v>1</x:v>
      </x:c>
      <x:c r="M685" t="str">
        <x:v>READY</x:v>
      </x:c>
      <x:c r="N685" t="str">
        <x:v>AKTIF</x:v>
      </x:c>
      <x:c r="O685" t="str"/>
      <x:c r="P685" t="str"/>
      <x:c r="Q685" t="str"/>
      <x:c r="R685" t="str"/>
      <x:c r="S685" t="str"/>
      <x:c r="T685" t="str"/>
      <x:c r="U685" s="18" t="n">
        <x:v>46134.041666666664</x:v>
      </x:c>
      <x:c r="V685" t="str">
        <x:v>INITIAL_IMPORT</x:v>
      </x:c>
    </x:row>
    <x:row r="686">
      <x:c r="A686" t="str">
        <x:v>PRD-JVS-0685</x:v>
      </x:c>
      <x:c r="B686" t="str">
        <x:v>JVS-0685</x:v>
      </x:c>
      <x:c r="C686" t="str">
        <x:v>Snapring klip Bearing Kruk As Besar Bagian dalam Vespa PX Largeframe Danmotor</x:v>
      </x:c>
      <x:c r="D686" t="str">
        <x:v>Mesin</x:v>
      </x:c>
      <x:c r="E686" t="str">
        <x:v>PX</x:v>
      </x:c>
      <x:c r="F686" t="str"/>
      <x:c r="G686" s="12" t="n">
        <x:v>15</x:v>
      </x:c>
      <x:c r="H686" s="12" t="n">
        <x:v>15</x:v>
      </x:c>
      <x:c r="I686" s="12" t="n">
        <x:v>0</x:v>
      </x:c>
      <x:c r="J686" s="16" t="n">
        <x:v>0</x:v>
      </x:c>
      <x:c r="K686" s="14" t="n">
        <x:v>4</x:v>
      </x:c>
      <x:c r="L686" s="14" t="n">
        <x:v>1</x:v>
      </x:c>
      <x:c r="M686" t="str">
        <x:v>READY</x:v>
      </x:c>
      <x:c r="N686" t="str">
        <x:v>AKTIF</x:v>
      </x:c>
      <x:c r="O686" t="str"/>
      <x:c r="P686" t="str"/>
      <x:c r="Q686" t="str"/>
      <x:c r="R686" t="str"/>
      <x:c r="S686" t="str"/>
      <x:c r="T686" t="str"/>
      <x:c r="U686" s="18" t="n">
        <x:v>46134.041666666664</x:v>
      </x:c>
      <x:c r="V686" t="str">
        <x:v>INITIAL_IMPORT</x:v>
      </x:c>
    </x:row>
    <x:row r="687">
      <x:c r="A687" t="str">
        <x:v>PRD-JVS-0686</x:v>
      </x:c>
      <x:c r="B687" t="str">
        <x:v>JVS-0686</x:v>
      </x:c>
      <x:c r="C687" t="str">
        <x:v>Snapring klip Bearing Kruk As Kecil Bagian kiri Vespa super bajaj</x:v>
      </x:c>
      <x:c r="D687" t="str">
        <x:v>Mesin</x:v>
      </x:c>
      <x:c r="E687" t="str">
        <x:v>SUPER, BAJAJ</x:v>
      </x:c>
      <x:c r="F687" t="str"/>
      <x:c r="G687" s="12" t="n">
        <x:v>15</x:v>
      </x:c>
      <x:c r="H687" s="12" t="n">
        <x:v>15</x:v>
      </x:c>
      <x:c r="I687" s="12" t="n">
        <x:v>0</x:v>
      </x:c>
      <x:c r="J687" s="16" t="n">
        <x:v>0</x:v>
      </x:c>
      <x:c r="K687" s="14" t="n">
        <x:v>6</x:v>
      </x:c>
      <x:c r="L687" s="14" t="n">
        <x:v>1</x:v>
      </x:c>
      <x:c r="M687" t="str">
        <x:v>READY</x:v>
      </x:c>
      <x:c r="N687" t="str">
        <x:v>AKTIF</x:v>
      </x:c>
      <x:c r="O687" t="str"/>
      <x:c r="P687" t="str"/>
      <x:c r="Q687" t="str"/>
      <x:c r="R687" t="str"/>
      <x:c r="S687" t="str"/>
      <x:c r="T687" t="str"/>
      <x:c r="U687" s="18" t="n">
        <x:v>46134.041666666664</x:v>
      </x:c>
      <x:c r="V687" t="str">
        <x:v>INITIAL_IMPORT</x:v>
      </x:c>
    </x:row>
    <x:row r="688">
      <x:c r="A688" t="str">
        <x:v>PRD-JVS-0687</x:v>
      </x:c>
      <x:c r="B688" t="str">
        <x:v>JVS-0687</x:v>
      </x:c>
      <x:c r="C688" t="str">
        <x:v>Snapring Klip Kuncian As Roda Depan Vespa 6204</x:v>
      </x:c>
      <x:c r="D688" t="str">
        <x:v>Kaki-Kaki</x:v>
      </x:c>
      <x:c r="E688" t="str"/>
      <x:c r="F688" t="str"/>
      <x:c r="G688" s="12" t="n">
        <x:v>12</x:v>
      </x:c>
      <x:c r="H688" s="12" t="n">
        <x:v>12</x:v>
      </x:c>
      <x:c r="I688" s="12" t="n">
        <x:v>0</x:v>
      </x:c>
      <x:c r="J688" s="16" t="n">
        <x:v>0</x:v>
      </x:c>
      <x:c r="K688" s="14" t="n">
        <x:v>4</x:v>
      </x:c>
      <x:c r="L688" s="14" t="n">
        <x:v>1</x:v>
      </x:c>
      <x:c r="M688" t="str">
        <x:v>READY</x:v>
      </x:c>
      <x:c r="N688" t="str">
        <x:v>AKTIF</x:v>
      </x:c>
      <x:c r="O688" t="str"/>
      <x:c r="P688" t="str"/>
      <x:c r="Q688" t="str"/>
      <x:c r="R688" t="str"/>
      <x:c r="S688" t="str"/>
      <x:c r="T688" t="str"/>
      <x:c r="U688" s="18" t="n">
        <x:v>46134.041666666664</x:v>
      </x:c>
      <x:c r="V688" t="str">
        <x:v>INITIAL_IMPORT</x:v>
      </x:c>
    </x:row>
    <x:row r="689">
      <x:c r="A689" t="str">
        <x:v>PRD-JVS-0688</x:v>
      </x:c>
      <x:c r="B689" t="str">
        <x:v>JVS-0688</x:v>
      </x:c>
      <x:c r="C689" t="str">
        <x:v>Snapring Klip Kuncian As Roda Depan Vespa Excel 6202</x:v>
      </x:c>
      <x:c r="D689" t="str">
        <x:v>Kaki-Kaki</x:v>
      </x:c>
      <x:c r="E689" t="str">
        <x:v>EXCEL</x:v>
      </x:c>
      <x:c r="F689" t="str"/>
      <x:c r="G689" s="12" t="str"/>
      <x:c r="H689" s="12" t="str"/>
      <x:c r="I689" s="12" t="str"/>
      <x:c r="J689" s="16" t="str"/>
      <x:c r="K689" s="14" t="n">
        <x:v>2</x:v>
      </x:c>
      <x:c r="L689" s="14" t="n">
        <x:v>1</x:v>
      </x:c>
      <x:c r="M689" t="str">
        <x:v>READY</x:v>
      </x:c>
      <x:c r="N689" t="str">
        <x:v>AKTIF</x:v>
      </x:c>
      <x:c r="O689" t="str"/>
      <x:c r="P689" t="str"/>
      <x:c r="Q689" t="str"/>
      <x:c r="R689" t="str"/>
      <x:c r="S689" t="str"/>
      <x:c r="T689" t="str"/>
      <x:c r="U689" s="18" t="n">
        <x:v>46134.041666666664</x:v>
      </x:c>
      <x:c r="V689" t="str">
        <x:v>INITIAL_IMPORT</x:v>
      </x:c>
    </x:row>
    <x:row r="690">
      <x:c r="A690" t="str">
        <x:v>PRD-JVS-0689</x:v>
      </x:c>
      <x:c r="B690" t="str">
        <x:v>JVS-0689</x:v>
      </x:c>
      <x:c r="C690" t="str">
        <x:v>Snapring Klip Kuncian As Roda Depan Vespa PX 6201</x:v>
      </x:c>
      <x:c r="D690" t="str">
        <x:v>Kaki-Kaki</x:v>
      </x:c>
      <x:c r="E690" t="str">
        <x:v>PX</x:v>
      </x:c>
      <x:c r="F690" t="str"/>
      <x:c r="G690" s="12" t="n">
        <x:v>7</x:v>
      </x:c>
      <x:c r="H690" s="12" t="n">
        <x:v>7</x:v>
      </x:c>
      <x:c r="I690" s="12" t="n">
        <x:v>0</x:v>
      </x:c>
      <x:c r="J690" s="16" t="n">
        <x:v>0</x:v>
      </x:c>
      <x:c r="K690" s="14" t="n">
        <x:v>2</x:v>
      </x:c>
      <x:c r="L690" s="14" t="n">
        <x:v>1</x:v>
      </x:c>
      <x:c r="M690" t="str">
        <x:v>READY</x:v>
      </x:c>
      <x:c r="N690" t="str">
        <x:v>AKTIF</x:v>
      </x:c>
      <x:c r="O690" t="str"/>
      <x:c r="P690" t="str"/>
      <x:c r="Q690" t="str"/>
      <x:c r="R690" t="str"/>
      <x:c r="S690" t="str"/>
      <x:c r="T690" t="str"/>
      <x:c r="U690" s="18" t="n">
        <x:v>46134.041666666664</x:v>
      </x:c>
      <x:c r="V690" t="str">
        <x:v>INITIAL_IMPORT</x:v>
      </x:c>
    </x:row>
    <x:row r="691">
      <x:c r="A691" t="str">
        <x:v>PRD-JVS-0690</x:v>
      </x:c>
      <x:c r="B691" t="str">
        <x:v>JVS-0690</x:v>
      </x:c>
      <x:c r="C691" t="str">
        <x:v>Snapring Kuncian Klip Pen Piston Seher Model RX King</x:v>
      </x:c>
      <x:c r="D691" t="str">
        <x:v>Mesin</x:v>
      </x:c>
      <x:c r="E691" t="str"/>
      <x:c r="F691" t="str"/>
      <x:c r="G691" s="12" t="n">
        <x:v>2.5</x:v>
      </x:c>
      <x:c r="H691" s="12" t="n">
        <x:v>2.5</x:v>
      </x:c>
      <x:c r="I691" s="12" t="n">
        <x:v>0</x:v>
      </x:c>
      <x:c r="J691" s="16" t="n">
        <x:v>0</x:v>
      </x:c>
      <x:c r="K691" s="14" t="n">
        <x:v>50</x:v>
      </x:c>
      <x:c r="L691" s="14" t="n">
        <x:v>1</x:v>
      </x:c>
      <x:c r="M691" t="str">
        <x:v>READY</x:v>
      </x:c>
      <x:c r="N691" t="str">
        <x:v>AKTIF</x:v>
      </x:c>
      <x:c r="O691" t="str"/>
      <x:c r="P691" t="str"/>
      <x:c r="Q691" t="str"/>
      <x:c r="R691" t="str"/>
      <x:c r="S691" t="str"/>
      <x:c r="T691" t="str"/>
      <x:c r="U691" s="18" t="n">
        <x:v>46134.041666666664</x:v>
      </x:c>
      <x:c r="V691" t="str">
        <x:v>INITIAL_IMPORT</x:v>
      </x:c>
    </x:row>
    <x:row r="692">
      <x:c r="A692" t="str">
        <x:v>PRD-JVS-0691</x:v>
      </x:c>
      <x:c r="B692" t="str">
        <x:v>JVS-0691</x:v>
      </x:c>
      <x:c r="C692" t="str">
        <x:v>Snapring Laher Gigi Susun Vespa XL 6302</x:v>
      </x:c>
      <x:c r="D692" t="str">
        <x:v>Mesin</x:v>
      </x:c>
      <x:c r="E692" t="str">
        <x:v>XL</x:v>
      </x:c>
      <x:c r="F692" t="str"/>
      <x:c r="G692" s="12" t="n">
        <x:v>10</x:v>
      </x:c>
      <x:c r="H692" s="12" t="n">
        <x:v>10</x:v>
      </x:c>
      <x:c r="I692" s="12" t="n">
        <x:v>0</x:v>
      </x:c>
      <x:c r="J692" s="16" t="n">
        <x:v>0</x:v>
      </x:c>
      <x:c r="K692" s="14" t="n">
        <x:v>3</x:v>
      </x:c>
      <x:c r="L692" s="14" t="n">
        <x:v>1</x:v>
      </x:c>
      <x:c r="M692" t="str">
        <x:v>READY</x:v>
      </x:c>
      <x:c r="N692" t="str">
        <x:v>AKTIF</x:v>
      </x:c>
      <x:c r="O692" t="str"/>
      <x:c r="P692" t="str"/>
      <x:c r="Q692" t="str"/>
      <x:c r="R692" t="str"/>
      <x:c r="S692" t="str"/>
      <x:c r="T692" t="str"/>
      <x:c r="U692" s="18" t="n">
        <x:v>46134.041666666664</x:v>
      </x:c>
      <x:c r="V692" t="str">
        <x:v>INITIAL_IMPORT</x:v>
      </x:c>
    </x:row>
    <x:row r="693">
      <x:c r="A693" t="str">
        <x:v>PRD-JVS-0692</x:v>
      </x:c>
      <x:c r="B693" t="str">
        <x:v>JVS-0692</x:v>
      </x:c>
      <x:c r="C693" t="str">
        <x:v>Snapring Pembuka Magnet As Kecil</x:v>
      </x:c>
      <x:c r="D693" t="str">
        <x:v>Mesin</x:v>
      </x:c>
      <x:c r="E693" t="str"/>
      <x:c r="F693" t="str"/>
      <x:c r="G693" s="12" t="n">
        <x:v>5</x:v>
      </x:c>
      <x:c r="H693" s="12" t="n">
        <x:v>5</x:v>
      </x:c>
      <x:c r="I693" s="12" t="n">
        <x:v>0</x:v>
      </x:c>
      <x:c r="J693" s="16" t="n">
        <x:v>0</x:v>
      </x:c>
      <x:c r="K693" s="14" t="n">
        <x:v>8</x:v>
      </x:c>
      <x:c r="L693" s="14" t="n">
        <x:v>1</x:v>
      </x:c>
      <x:c r="M693" t="str">
        <x:v>READY</x:v>
      </x:c>
      <x:c r="N693" t="str">
        <x:v>AKTIF</x:v>
      </x:c>
      <x:c r="O693" t="str"/>
      <x:c r="P693" t="str"/>
      <x:c r="Q693" t="str"/>
      <x:c r="R693" t="str"/>
      <x:c r="S693" t="str"/>
      <x:c r="T693" t="str"/>
      <x:c r="U693" s="18" t="n">
        <x:v>46134.041666666664</x:v>
      </x:c>
      <x:c r="V693" t="str">
        <x:v>INITIAL_IMPORT</x:v>
      </x:c>
    </x:row>
    <x:row r="694">
      <x:c r="A694" t="str">
        <x:v>PRD-JVS-0693</x:v>
      </x:c>
      <x:c r="B694" t="str">
        <x:v>JVS-0693</x:v>
      </x:c>
      <x:c r="C694" t="str">
        <x:v>Snapring tutup Tromol / wadah Kampas rem Depan Vespa Excel</x:v>
      </x:c>
      <x:c r="D694" t="str">
        <x:v>Kaki-Kaki</x:v>
      </x:c>
      <x:c r="E694" t="str">
        <x:v>EXCEL</x:v>
      </x:c>
      <x:c r="F694" t="str"/>
      <x:c r="G694" s="12" t="str"/>
      <x:c r="H694" s="12" t="str"/>
      <x:c r="I694" s="12" t="str"/>
      <x:c r="J694" s="16" t="str"/>
      <x:c r="K694" s="14" t="n">
        <x:v>5</x:v>
      </x:c>
      <x:c r="L694" s="14" t="n">
        <x:v>1</x:v>
      </x:c>
      <x:c r="M694" t="str">
        <x:v>READY</x:v>
      </x:c>
      <x:c r="N694" t="str">
        <x:v>AKTIF</x:v>
      </x:c>
      <x:c r="O694" t="str"/>
      <x:c r="P694" t="str"/>
      <x:c r="Q694" t="str"/>
      <x:c r="R694" t="str"/>
      <x:c r="S694" t="str"/>
      <x:c r="T694" t="str"/>
      <x:c r="U694" s="18" t="n">
        <x:v>46134.041666666664</x:v>
      </x:c>
      <x:c r="V694" t="str">
        <x:v>INITIAL_IMPORT</x:v>
      </x:c>
    </x:row>
    <x:row r="695">
      <x:c r="A695" t="str">
        <x:v>PRD-JVS-0694</x:v>
      </x:c>
      <x:c r="B695" t="str">
        <x:v>JVS-0694</x:v>
      </x:c>
      <x:c r="C695" t="str">
        <x:v>Snapring tutup Tromol / wadah Kampas rem Depan Vespa PX</x:v>
      </x:c>
      <x:c r="D695" t="str">
        <x:v>Kaki-Kaki</x:v>
      </x:c>
      <x:c r="E695" t="str">
        <x:v>PX</x:v>
      </x:c>
      <x:c r="F695" t="str"/>
      <x:c r="G695" s="12" t="str"/>
      <x:c r="H695" s="12" t="str"/>
      <x:c r="I695" s="12" t="str"/>
      <x:c r="J695" s="16" t="str"/>
      <x:c r="K695" s="14" t="n">
        <x:v>4</x:v>
      </x:c>
      <x:c r="L695" s="14" t="n">
        <x:v>1</x:v>
      </x:c>
      <x:c r="M695" t="str">
        <x:v>READY</x:v>
      </x:c>
      <x:c r="N695" t="str">
        <x:v>AKTIF</x:v>
      </x:c>
      <x:c r="O695" t="str"/>
      <x:c r="P695" t="str"/>
      <x:c r="Q695" t="str"/>
      <x:c r="R695" t="str"/>
      <x:c r="S695" t="str"/>
      <x:c r="T695" t="str"/>
      <x:c r="U695" s="18" t="n">
        <x:v>46134.041666666664</x:v>
      </x:c>
      <x:c r="V695" t="str">
        <x:v>INITIAL_IMPORT</x:v>
      </x:c>
    </x:row>
    <x:row r="696">
      <x:c r="A696" t="str">
        <x:v>PRD-JVS-0695</x:v>
      </x:c>
      <x:c r="B696" t="str">
        <x:v>JVS-0695</x:v>
      </x:c>
      <x:c r="C696" t="str">
        <x:v>Socket CDI Grand</x:v>
      </x:c>
      <x:c r="D696" t="str">
        <x:v>Kelistrikan</x:v>
      </x:c>
      <x:c r="E696" t="str"/>
      <x:c r="F696" t="str"/>
      <x:c r="G696" s="12" t="n">
        <x:v>5</x:v>
      </x:c>
      <x:c r="H696" s="12" t="n">
        <x:v>5</x:v>
      </x:c>
      <x:c r="I696" s="12" t="n">
        <x:v>0</x:v>
      </x:c>
      <x:c r="J696" s="16" t="n">
        <x:v>0</x:v>
      </x:c>
      <x:c r="K696" s="14" t="n">
        <x:v>3</x:v>
      </x:c>
      <x:c r="L696" s="14" t="n">
        <x:v>1</x:v>
      </x:c>
      <x:c r="M696" t="str">
        <x:v>READY</x:v>
      </x:c>
      <x:c r="N696" t="str">
        <x:v>AKTIF</x:v>
      </x:c>
      <x:c r="O696" t="str"/>
      <x:c r="P696" t="str"/>
      <x:c r="Q696" t="str"/>
      <x:c r="R696" t="str"/>
      <x:c r="S696" t="str"/>
      <x:c r="T696" t="str"/>
      <x:c r="U696" s="18" t="n">
        <x:v>46134.041666666664</x:v>
      </x:c>
      <x:c r="V696" t="str">
        <x:v>INITIAL_IMPORT</x:v>
      </x:c>
    </x:row>
    <x:row r="697">
      <x:c r="A697" t="str">
        <x:v>PRD-JVS-0696</x:v>
      </x:c>
      <x:c r="B697" t="str">
        <x:v>JVS-0696</x:v>
      </x:c>
      <x:c r="C697" t="str">
        <x:v>Socket Kiprok Regulator NMAX</x:v>
      </x:c>
      <x:c r="D697" t="str">
        <x:v>Kelistrikan</x:v>
      </x:c>
      <x:c r="E697" t="str"/>
      <x:c r="F697" t="str"/>
      <x:c r="G697" s="12" t="n">
        <x:v>10</x:v>
      </x:c>
      <x:c r="H697" s="12" t="n">
        <x:v>10</x:v>
      </x:c>
      <x:c r="I697" s="12" t="n">
        <x:v>0</x:v>
      </x:c>
      <x:c r="J697" s="16" t="n">
        <x:v>0</x:v>
      </x:c>
      <x:c r="K697" s="14" t="n">
        <x:v>0</x:v>
      </x:c>
      <x:c r="L697" s="14" t="n">
        <x:v>1</x:v>
      </x:c>
      <x:c r="M697" t="str">
        <x:v>OUT OF STOCK</x:v>
      </x:c>
      <x:c r="N697" t="str">
        <x:v>AKTIF</x:v>
      </x:c>
      <x:c r="O697" t="str"/>
      <x:c r="P697" t="str"/>
      <x:c r="Q697" t="str"/>
      <x:c r="R697" t="str"/>
      <x:c r="S697" t="str"/>
      <x:c r="T697" t="str"/>
      <x:c r="U697" s="18" t="n">
        <x:v>46134.041666666664</x:v>
      </x:c>
      <x:c r="V697" t="str">
        <x:v>INITIAL_IMPORT</x:v>
      </x:c>
    </x:row>
    <x:row r="698">
      <x:c r="A698" t="str">
        <x:v>PRD-JVS-0697</x:v>
      </x:c>
      <x:c r="B698" t="str">
        <x:v>JVS-0697</x:v>
      </x:c>
      <x:c r="C698" t="str">
        <x:v>Spakbor selebor depan vespa px Lokal Tebal</x:v>
      </x:c>
      <x:c r="D698" t="str">
        <x:v>Body</x:v>
      </x:c>
      <x:c r="E698" t="str">
        <x:v>PX</x:v>
      </x:c>
      <x:c r="F698" t="str"/>
      <x:c r="G698" s="12" t="n">
        <x:v>225</x:v>
      </x:c>
      <x:c r="H698" s="12" t="n">
        <x:v>225</x:v>
      </x:c>
      <x:c r="I698" s="12" t="n">
        <x:v>0</x:v>
      </x:c>
      <x:c r="J698" s="16" t="n">
        <x:v>0</x:v>
      </x:c>
      <x:c r="K698" s="14" t="n">
        <x:v>1</x:v>
      </x:c>
      <x:c r="L698" s="14" t="n">
        <x:v>1</x:v>
      </x:c>
      <x:c r="M698" t="str">
        <x:v>LOW</x:v>
      </x:c>
      <x:c r="N698" t="str">
        <x:v>AKTIF</x:v>
      </x:c>
      <x:c r="O698" t="str"/>
      <x:c r="P698" t="str"/>
      <x:c r="Q698" t="str"/>
      <x:c r="R698" t="str"/>
      <x:c r="S698" t="str"/>
      <x:c r="T698" t="str"/>
      <x:c r="U698" s="18" t="n">
        <x:v>46134.041666666664</x:v>
      </x:c>
      <x:c r="V698" t="str">
        <x:v>INITIAL_IMPORT</x:v>
      </x:c>
    </x:row>
    <x:row r="699">
      <x:c r="A699" t="str">
        <x:v>PRD-JVS-0698</x:v>
      </x:c>
      <x:c r="B699" t="str">
        <x:v>JVS-0698</x:v>
      </x:c>
      <x:c r="C699" t="str">
        <x:v>Spedometer Vespa PX Bulat Import</x:v>
      </x:c>
      <x:c r="D699" t="str">
        <x:v>Body</x:v>
      </x:c>
      <x:c r="E699" t="str">
        <x:v>PX</x:v>
      </x:c>
      <x:c r="F699" t="str"/>
      <x:c r="G699" s="12" t="n">
        <x:v>160</x:v>
      </x:c>
      <x:c r="H699" s="12" t="n">
        <x:v>160</x:v>
      </x:c>
      <x:c r="I699" s="12" t="n">
        <x:v>0</x:v>
      </x:c>
      <x:c r="J699" s="16" t="n">
        <x:v>0</x:v>
      </x:c>
      <x:c r="K699" s="14" t="n">
        <x:v>0</x:v>
      </x:c>
      <x:c r="L699" s="14" t="n">
        <x:v>1</x:v>
      </x:c>
      <x:c r="M699" t="str">
        <x:v>OUT OF STOCK</x:v>
      </x:c>
      <x:c r="N699" t="str">
        <x:v>AKTIF</x:v>
      </x:c>
      <x:c r="O699" t="str"/>
      <x:c r="P699" t="str"/>
      <x:c r="Q699" t="str"/>
      <x:c r="R699" t="str"/>
      <x:c r="S699" t="str"/>
      <x:c r="T699" t="str"/>
      <x:c r="U699" s="18" t="n">
        <x:v>46134.041666666664</x:v>
      </x:c>
      <x:c r="V699" t="str">
        <x:v>INITIAL_IMPORT</x:v>
      </x:c>
    </x:row>
    <x:row r="700">
      <x:c r="A700" t="str">
        <x:v>PRD-JVS-0699</x:v>
      </x:c>
      <x:c r="B700" t="str">
        <x:v>JVS-0699</x:v>
      </x:c>
      <x:c r="C700" t="str">
        <x:v>Spedometer Vespa Sprint Super 78 Kerang</x:v>
      </x:c>
      <x:c r="D700" t="str">
        <x:v>Body</x:v>
      </x:c>
      <x:c r="E700" t="str">
        <x:v>SUPER, SPRINT</x:v>
      </x:c>
      <x:c r="F700" t="str"/>
      <x:c r="G700" s="12" t="n">
        <x:v>175</x:v>
      </x:c>
      <x:c r="H700" s="12" t="n">
        <x:v>175</x:v>
      </x:c>
      <x:c r="I700" s="12" t="n">
        <x:v>0</x:v>
      </x:c>
      <x:c r="J700" s="16" t="n">
        <x:v>0</x:v>
      </x:c>
      <x:c r="K700" s="14" t="n">
        <x:v>1</x:v>
      </x:c>
      <x:c r="L700" s="14" t="n">
        <x:v>1</x:v>
      </x:c>
      <x:c r="M700" t="str">
        <x:v>LOW</x:v>
      </x:c>
      <x:c r="N700" t="str">
        <x:v>AKTIF</x:v>
      </x:c>
      <x:c r="O700" t="str"/>
      <x:c r="P700" t="str"/>
      <x:c r="Q700" t="str"/>
      <x:c r="R700" t="str"/>
      <x:c r="S700" t="str"/>
      <x:c r="T700" t="str"/>
      <x:c r="U700" s="18" t="n">
        <x:v>46134.041666666664</x:v>
      </x:c>
      <x:c r="V700" t="str">
        <x:v>INITIAL_IMPORT</x:v>
      </x:c>
    </x:row>
    <x:row r="701">
      <x:c r="A701" t="str">
        <x:v>PRD-JVS-0700</x:v>
      </x:c>
      <x:c r="B701" t="str">
        <x:v>JVS-0700</x:v>
      </x:c>
      <x:c r="C701" t="str">
        <x:v>Spedometer Vespa Sprint Super VBB Bajaj 65-75 Jenong</x:v>
      </x:c>
      <x:c r="D701" t="str">
        <x:v>Body</x:v>
      </x:c>
      <x:c r="E701" t="str">
        <x:v>SUPER, SPRINT, VBB, BAJAJ</x:v>
      </x:c>
      <x:c r="F701" t="str"/>
      <x:c r="G701" s="12" t="n">
        <x:v>170</x:v>
      </x:c>
      <x:c r="H701" s="12" t="n">
        <x:v>170</x:v>
      </x:c>
      <x:c r="I701" s="12" t="n">
        <x:v>0</x:v>
      </x:c>
      <x:c r="J701" s="16" t="n">
        <x:v>0</x:v>
      </x:c>
      <x:c r="K701" s="14" t="n">
        <x:v>1</x:v>
      </x:c>
      <x:c r="L701" s="14" t="n">
        <x:v>1</x:v>
      </x:c>
      <x:c r="M701" t="str">
        <x:v>LOW</x:v>
      </x:c>
      <x:c r="N701" t="str">
        <x:v>AKTIF</x:v>
      </x:c>
      <x:c r="O701" t="str"/>
      <x:c r="P701" t="str"/>
      <x:c r="Q701" t="str"/>
      <x:c r="R701" t="str"/>
      <x:c r="S701" t="str"/>
      <x:c r="T701" t="str"/>
      <x:c r="U701" s="18" t="n">
        <x:v>46134.041666666664</x:v>
      </x:c>
      <x:c r="V701" t="str">
        <x:v>INITIAL_IMPORT</x:v>
      </x:c>
    </x:row>
    <x:row r="702">
      <x:c r="A702" t="str">
        <x:v>PRD-JVS-0701</x:v>
      </x:c>
      <x:c r="B702" t="str">
        <x:v>JVS-0701</x:v>
      </x:c>
      <x:c r="C702" t="str">
        <x:v>Spi Kopling Vespa</x:v>
      </x:c>
      <x:c r="D702" t="str">
        <x:v>Mesin</x:v>
      </x:c>
      <x:c r="E702" t="str"/>
      <x:c r="F702" t="str"/>
      <x:c r="G702" s="12" t="n">
        <x:v>5</x:v>
      </x:c>
      <x:c r="H702" s="12" t="n">
        <x:v>5</x:v>
      </x:c>
      <x:c r="I702" s="12" t="n">
        <x:v>0</x:v>
      </x:c>
      <x:c r="J702" s="16" t="n">
        <x:v>0</x:v>
      </x:c>
      <x:c r="K702" s="14" t="n">
        <x:v>4</x:v>
      </x:c>
      <x:c r="L702" s="14" t="n">
        <x:v>1</x:v>
      </x:c>
      <x:c r="M702" t="str">
        <x:v>READY</x:v>
      </x:c>
      <x:c r="N702" t="str">
        <x:v>AKTIF</x:v>
      </x:c>
      <x:c r="O702" t="str"/>
      <x:c r="P702" t="str"/>
      <x:c r="Q702" t="str"/>
      <x:c r="R702" t="str"/>
      <x:c r="S702" t="str"/>
      <x:c r="T702" t="str"/>
      <x:c r="U702" s="18" t="n">
        <x:v>46134.041666666664</x:v>
      </x:c>
      <x:c r="V702" t="str">
        <x:v>INITIAL_IMPORT</x:v>
      </x:c>
    </x:row>
    <x:row r="703">
      <x:c r="A703" t="str">
        <x:v>PRD-JVS-0702</x:v>
      </x:c>
      <x:c r="B703" t="str">
        <x:v>JVS-0702</x:v>
      </x:c>
      <x:c r="C703" t="str">
        <x:v>Spi Magnet Vespa</x:v>
      </x:c>
      <x:c r="D703" t="str">
        <x:v>Mesin</x:v>
      </x:c>
      <x:c r="E703" t="str"/>
      <x:c r="F703" t="str"/>
      <x:c r="G703" s="12" t="n">
        <x:v>5</x:v>
      </x:c>
      <x:c r="H703" s="12" t="n">
        <x:v>5</x:v>
      </x:c>
      <x:c r="I703" s="12" t="n">
        <x:v>0</x:v>
      </x:c>
      <x:c r="J703" s="16" t="n">
        <x:v>0</x:v>
      </x:c>
      <x:c r="K703" s="14" t="n">
        <x:v>20</x:v>
      </x:c>
      <x:c r="L703" s="14" t="n">
        <x:v>1</x:v>
      </x:c>
      <x:c r="M703" t="str">
        <x:v>READY</x:v>
      </x:c>
      <x:c r="N703" t="str">
        <x:v>AKTIF</x:v>
      </x:c>
      <x:c r="O703" t="str"/>
      <x:c r="P703" t="str"/>
      <x:c r="Q703" t="str"/>
      <x:c r="R703" t="str"/>
      <x:c r="S703" t="str"/>
      <x:c r="T703" t="str"/>
      <x:c r="U703" s="18" t="n">
        <x:v>46134.041666666664</x:v>
      </x:c>
      <x:c r="V703" t="str">
        <x:v>INITIAL_IMPORT</x:v>
      </x:c>
    </x:row>
    <x:row r="704">
      <x:c r="A704" t="str">
        <x:v>PRD-JVS-0703</x:v>
      </x:c>
      <x:c r="B704" t="str">
        <x:v>JVS-0703</x:v>
      </x:c>
      <x:c r="C704" t="str">
        <x:v>Spion langsungan KDC Kanan</x:v>
      </x:c>
      <x:c r="D704" t="str">
        <x:v>Body</x:v>
      </x:c>
      <x:c r="E704" t="str"/>
      <x:c r="F704" t="str"/>
      <x:c r="G704" s="12" t="n">
        <x:v>150</x:v>
      </x:c>
      <x:c r="H704" s="12" t="n">
        <x:v>150</x:v>
      </x:c>
      <x:c r="I704" s="12" t="n">
        <x:v>0</x:v>
      </x:c>
      <x:c r="J704" s="16" t="n">
        <x:v>0</x:v>
      </x:c>
      <x:c r="K704" s="14" t="n">
        <x:v>0</x:v>
      </x:c>
      <x:c r="L704" s="14" t="n">
        <x:v>1</x:v>
      </x:c>
      <x:c r="M704" t="str">
        <x:v>OUT OF STOCK</x:v>
      </x:c>
      <x:c r="N704" t="str">
        <x:v>AKTIF</x:v>
      </x:c>
      <x:c r="O704" t="str"/>
      <x:c r="P704" t="str"/>
      <x:c r="Q704" t="str"/>
      <x:c r="R704" t="str"/>
      <x:c r="S704" t="str"/>
      <x:c r="T704" t="str"/>
      <x:c r="U704" s="18" t="n">
        <x:v>46134.041666666664</x:v>
      </x:c>
      <x:c r="V704" t="str">
        <x:v>INITIAL_IMPORT</x:v>
      </x:c>
    </x:row>
    <x:row r="705">
      <x:c r="A705" t="str">
        <x:v>PRD-JVS-0704</x:v>
      </x:c>
      <x:c r="B705" t="str">
        <x:v>JVS-0704</x:v>
      </x:c>
      <x:c r="C705" t="str">
        <x:v>Spion langsungan KDC Kiri</x:v>
      </x:c>
      <x:c r="D705" t="str">
        <x:v>Body</x:v>
      </x:c>
      <x:c r="E705" t="str"/>
      <x:c r="F705" t="str"/>
      <x:c r="G705" s="12" t="n">
        <x:v>150</x:v>
      </x:c>
      <x:c r="H705" s="12" t="n">
        <x:v>150</x:v>
      </x:c>
      <x:c r="I705" s="12" t="n">
        <x:v>0</x:v>
      </x:c>
      <x:c r="J705" s="16" t="n">
        <x:v>0</x:v>
      </x:c>
      <x:c r="K705" s="14" t="n">
        <x:v>1</x:v>
      </x:c>
      <x:c r="L705" s="14" t="n">
        <x:v>1</x:v>
      </x:c>
      <x:c r="M705" t="str">
        <x:v>LOW</x:v>
      </x:c>
      <x:c r="N705" t="str">
        <x:v>AKTIF</x:v>
      </x:c>
      <x:c r="O705" t="str"/>
      <x:c r="P705" t="str"/>
      <x:c r="Q705" t="str"/>
      <x:c r="R705" t="str"/>
      <x:c r="S705" t="str"/>
      <x:c r="T705" t="str"/>
      <x:c r="U705" s="18" t="n">
        <x:v>46134.041666666664</x:v>
      </x:c>
      <x:c r="V705" t="str">
        <x:v>INITIAL_IMPORT</x:v>
      </x:c>
    </x:row>
    <x:row r="706">
      <x:c r="A706" t="str">
        <x:v>PRD-JVS-0705</x:v>
      </x:c>
      <x:c r="B706" t="str">
        <x:v>JVS-0705</x:v>
      </x:c>
      <x:c r="C706" t="str">
        <x:v>Spion Set Kiri Kanan Vespa PX, Exclusive EMGI</x:v>
      </x:c>
      <x:c r="D706" t="str">
        <x:v>Body</x:v>
      </x:c>
      <x:c r="E706" t="str">
        <x:v>EXCLUSIVE, PX</x:v>
      </x:c>
      <x:c r="F706" t="str"/>
      <x:c r="G706" s="12" t="n">
        <x:v>85</x:v>
      </x:c>
      <x:c r="H706" s="12" t="n">
        <x:v>85</x:v>
      </x:c>
      <x:c r="I706" s="12" t="n">
        <x:v>0</x:v>
      </x:c>
      <x:c r="J706" s="16" t="n">
        <x:v>0</x:v>
      </x:c>
      <x:c r="K706" s="14" t="n">
        <x:v>1</x:v>
      </x:c>
      <x:c r="L706" s="14" t="n">
        <x:v>1</x:v>
      </x:c>
      <x:c r="M706" t="str">
        <x:v>LOW</x:v>
      </x:c>
      <x:c r="N706" t="str">
        <x:v>AKTIF</x:v>
      </x:c>
      <x:c r="O706" t="str"/>
      <x:c r="P706" t="str"/>
      <x:c r="Q706" t="str"/>
      <x:c r="R706" t="str"/>
      <x:c r="S706" t="str"/>
      <x:c r="T706" t="str"/>
      <x:c r="U706" s="18" t="n">
        <x:v>46134.041666666664</x:v>
      </x:c>
      <x:c r="V706" t="str">
        <x:v>INITIAL_IMPORT</x:v>
      </x:c>
    </x:row>
    <x:row r="707">
      <x:c r="A707" t="str">
        <x:v>PRD-JVS-0706</x:v>
      </x:c>
      <x:c r="B707" t="str">
        <x:v>JVS-0706</x:v>
      </x:c>
      <x:c r="C707" t="str">
        <x:v>Spion Tusuk Handle VBB Kanan</x:v>
      </x:c>
      <x:c r="D707" t="str">
        <x:v>Body</x:v>
      </x:c>
      <x:c r="E707" t="str">
        <x:v>VBB</x:v>
      </x:c>
      <x:c r="F707" t="str"/>
      <x:c r="G707" s="12" t="n">
        <x:v>90</x:v>
      </x:c>
      <x:c r="H707" s="12" t="n">
        <x:v>90</x:v>
      </x:c>
      <x:c r="I707" s="12" t="n">
        <x:v>0</x:v>
      </x:c>
      <x:c r="J707" s="16" t="n">
        <x:v>0</x:v>
      </x:c>
      <x:c r="K707" s="14" t="n">
        <x:v>1</x:v>
      </x:c>
      <x:c r="L707" s="14" t="n">
        <x:v>1</x:v>
      </x:c>
      <x:c r="M707" t="str">
        <x:v>LOW</x:v>
      </x:c>
      <x:c r="N707" t="str">
        <x:v>AKTIF</x:v>
      </x:c>
      <x:c r="O707" t="str"/>
      <x:c r="P707" t="str"/>
      <x:c r="Q707" t="str"/>
      <x:c r="R707" t="str"/>
      <x:c r="S707" t="str"/>
      <x:c r="T707" t="str"/>
      <x:c r="U707" s="18" t="n">
        <x:v>46134.041666666664</x:v>
      </x:c>
      <x:c r="V707" t="str">
        <x:v>INITIAL_IMPORT</x:v>
      </x:c>
    </x:row>
    <x:row r="708">
      <x:c r="A708" t="str">
        <x:v>PRD-JVS-0707</x:v>
      </x:c>
      <x:c r="B708" t="str">
        <x:v>JVS-0707</x:v>
      </x:c>
      <x:c r="C708" t="str">
        <x:v>Spoiler Pelindung Dek Bawah Lantai Danmotor</x:v>
      </x:c>
      <x:c r="D708" t="str">
        <x:v>Aksesoris</x:v>
      </x:c>
      <x:c r="E708" t="str"/>
      <x:c r="F708" t="str"/>
      <x:c r="G708" s="12" t="n">
        <x:v>100</x:v>
      </x:c>
      <x:c r="H708" s="12" t="n">
        <x:v>100</x:v>
      </x:c>
      <x:c r="I708" s="12" t="n">
        <x:v>0</x:v>
      </x:c>
      <x:c r="J708" s="16" t="n">
        <x:v>0</x:v>
      </x:c>
      <x:c r="K708" s="14" t="n">
        <x:v>1</x:v>
      </x:c>
      <x:c r="L708" s="14" t="n">
        <x:v>1</x:v>
      </x:c>
      <x:c r="M708" t="str">
        <x:v>LOW</x:v>
      </x:c>
      <x:c r="N708" t="str">
        <x:v>AKTIF</x:v>
      </x:c>
      <x:c r="O708" t="str"/>
      <x:c r="P708" t="str"/>
      <x:c r="Q708" t="str"/>
      <x:c r="R708" t="str"/>
      <x:c r="S708" t="str"/>
      <x:c r="T708" t="str"/>
      <x:c r="U708" s="18" t="n">
        <x:v>46134.041666666664</x:v>
      </x:c>
      <x:c r="V708" t="str">
        <x:v>INITIAL_IMPORT</x:v>
      </x:c>
    </x:row>
    <x:row r="709">
      <x:c r="A709" t="str">
        <x:v>PRD-JVS-0708</x:v>
      </x:c>
      <x:c r="B709" t="str">
        <x:v>JVS-0708</x:v>
      </x:c>
      <x:c r="C709" t="str">
        <x:v>Spul CDI Danmotor Original</x:v>
      </x:c>
      <x:c r="D709" t="str">
        <x:v>Kelistrikan</x:v>
      </x:c>
      <x:c r="E709" t="str"/>
      <x:c r="F709" t="str"/>
      <x:c r="G709" s="12" t="n">
        <x:v>150</x:v>
      </x:c>
      <x:c r="H709" s="12" t="n">
        <x:v>150</x:v>
      </x:c>
      <x:c r="I709" s="12" t="n">
        <x:v>0</x:v>
      </x:c>
      <x:c r="J709" s="16" t="n">
        <x:v>0</x:v>
      </x:c>
      <x:c r="K709" s="14" t="n">
        <x:v>1</x:v>
      </x:c>
      <x:c r="L709" s="14" t="n">
        <x:v>1</x:v>
      </x:c>
      <x:c r="M709" t="str">
        <x:v>LOW</x:v>
      </x:c>
      <x:c r="N709" t="str">
        <x:v>AKTIF</x:v>
      </x:c>
      <x:c r="O709" t="str"/>
      <x:c r="P709" t="str"/>
      <x:c r="Q709" t="str"/>
      <x:c r="R709" t="str"/>
      <x:c r="S709" t="str"/>
      <x:c r="T709" t="str"/>
      <x:c r="U709" s="18" t="n">
        <x:v>46134.041666666664</x:v>
      </x:c>
      <x:c r="V709" t="str">
        <x:v>INITIAL_IMPORT</x:v>
      </x:c>
    </x:row>
    <x:row r="710">
      <x:c r="A710" t="str">
        <x:v>PRD-JVS-0709</x:v>
      </x:c>
      <x:c r="B710" t="str">
        <x:v>JVS-0709</x:v>
      </x:c>
      <x:c r="C710" t="str">
        <x:v>Spul CDI Excel Vemsa Vifo Vesgio</x:v>
      </x:c>
      <x:c r="D710" t="str">
        <x:v>Kelistrikan</x:v>
      </x:c>
      <x:c r="E710" t="str">
        <x:v>EXCEL</x:v>
      </x:c>
      <x:c r="F710" t="str"/>
      <x:c r="G710" s="12" t="n">
        <x:v>75</x:v>
      </x:c>
      <x:c r="H710" s="12" t="n">
        <x:v>75</x:v>
      </x:c>
      <x:c r="I710" s="12" t="n">
        <x:v>0</x:v>
      </x:c>
      <x:c r="J710" s="16" t="n">
        <x:v>0</x:v>
      </x:c>
      <x:c r="K710" s="14" t="n">
        <x:v>1</x:v>
      </x:c>
      <x:c r="L710" s="14" t="n">
        <x:v>1</x:v>
      </x:c>
      <x:c r="M710" t="str">
        <x:v>LOW</x:v>
      </x:c>
      <x:c r="N710" t="str">
        <x:v>AKTIF</x:v>
      </x:c>
      <x:c r="O710" t="str"/>
      <x:c r="P710" t="str"/>
      <x:c r="Q710" t="str"/>
      <x:c r="R710" t="str"/>
      <x:c r="S710" t="str"/>
      <x:c r="T710" t="str"/>
      <x:c r="U710" s="18" t="n">
        <x:v>46134.041666666664</x:v>
      </x:c>
      <x:c r="V710" t="str">
        <x:v>INITIAL_IMPORT</x:v>
      </x:c>
    </x:row>
    <x:row r="711">
      <x:c r="A711" t="str">
        <x:v>PRD-JVS-0710</x:v>
      </x:c>
      <x:c r="B711" t="str">
        <x:v>JVS-0710</x:v>
      </x:c>
      <x:c r="C711" t="str">
        <x:v>Spul CDI Vespa PX TON</x:v>
      </x:c>
      <x:c r="D711" t="str">
        <x:v>Kelistrikan</x:v>
      </x:c>
      <x:c r="E711" t="str">
        <x:v>PX</x:v>
      </x:c>
      <x:c r="F711" t="str"/>
      <x:c r="G711" s="12" t="n">
        <x:v>28</x:v>
      </x:c>
      <x:c r="H711" s="12" t="n">
        <x:v>28</x:v>
      </x:c>
      <x:c r="I711" s="12" t="n">
        <x:v>0</x:v>
      </x:c>
      <x:c r="J711" s="16" t="n">
        <x:v>0</x:v>
      </x:c>
      <x:c r="K711" s="14" t="n">
        <x:v>4</x:v>
      </x:c>
      <x:c r="L711" s="14" t="n">
        <x:v>1</x:v>
      </x:c>
      <x:c r="M711" t="str">
        <x:v>READY</x:v>
      </x:c>
      <x:c r="N711" t="str">
        <x:v>AKTIF</x:v>
      </x:c>
      <x:c r="O711" t="str"/>
      <x:c r="P711" t="str"/>
      <x:c r="Q711" t="str"/>
      <x:c r="R711" t="str"/>
      <x:c r="S711" t="str"/>
      <x:c r="T711" t="str"/>
      <x:c r="U711" s="18" t="n">
        <x:v>46134.041666666664</x:v>
      </x:c>
      <x:c r="V711" t="str">
        <x:v>INITIAL_IMPORT</x:v>
      </x:c>
    </x:row>
    <x:row r="712">
      <x:c r="A712" t="str">
        <x:v>PRD-JVS-0711</x:v>
      </x:c>
      <x:c r="B712" t="str">
        <x:v>JVS-0711</x:v>
      </x:c>
      <x:c r="C712" t="str">
        <x:v>Spul Lampu 12 Volt Vespa Super</x:v>
      </x:c>
      <x:c r="D712" t="str">
        <x:v>Kelistrikan</x:v>
      </x:c>
      <x:c r="E712" t="str">
        <x:v>SUPER</x:v>
      </x:c>
      <x:c r="F712" t="str"/>
      <x:c r="G712" s="12" t="n">
        <x:v>88</x:v>
      </x:c>
      <x:c r="H712" s="12" t="n">
        <x:v>88</x:v>
      </x:c>
      <x:c r="I712" s="12" t="n">
        <x:v>0</x:v>
      </x:c>
      <x:c r="J712" s="16" t="n">
        <x:v>0</x:v>
      </x:c>
      <x:c r="K712" s="14" t="n">
        <x:v>2</x:v>
      </x:c>
      <x:c r="L712" s="14" t="n">
        <x:v>1</x:v>
      </x:c>
      <x:c r="M712" t="str">
        <x:v>READY</x:v>
      </x:c>
      <x:c r="N712" t="str">
        <x:v>AKTIF</x:v>
      </x:c>
      <x:c r="O712" t="str"/>
      <x:c r="P712" t="str"/>
      <x:c r="Q712" t="str"/>
      <x:c r="R712" t="str"/>
      <x:c r="S712" t="str"/>
      <x:c r="T712" t="str"/>
      <x:c r="U712" s="18" t="n">
        <x:v>46134.041666666664</x:v>
      </x:c>
      <x:c r="V712" t="str">
        <x:v>INITIAL_IMPORT</x:v>
      </x:c>
    </x:row>
    <x:row r="713">
      <x:c r="A713" t="str">
        <x:v>PRD-JVS-0712</x:v>
      </x:c>
      <x:c r="B713" t="str">
        <x:v>JVS-0712</x:v>
      </x:c>
      <x:c r="C713" t="str">
        <x:v>Spul Lampu 6 Volt Vespa Super Bijian</x:v>
      </x:c>
      <x:c r="D713" t="str">
        <x:v>Kelistrikan</x:v>
      </x:c>
      <x:c r="E713" t="str">
        <x:v>SUPER</x:v>
      </x:c>
      <x:c r="F713" t="str"/>
      <x:c r="G713" s="12" t="n">
        <x:v>45</x:v>
      </x:c>
      <x:c r="H713" s="12" t="n">
        <x:v>45</x:v>
      </x:c>
      <x:c r="I713" s="12" t="n">
        <x:v>0</x:v>
      </x:c>
      <x:c r="J713" s="16" t="n">
        <x:v>0</x:v>
      </x:c>
      <x:c r="K713" s="14" t="n">
        <x:v>2</x:v>
      </x:c>
      <x:c r="L713" s="14" t="n">
        <x:v>1</x:v>
      </x:c>
      <x:c r="M713" t="str">
        <x:v>READY</x:v>
      </x:c>
      <x:c r="N713" t="str">
        <x:v>AKTIF</x:v>
      </x:c>
      <x:c r="O713" t="str"/>
      <x:c r="P713" t="str"/>
      <x:c r="Q713" t="str"/>
      <x:c r="R713" t="str"/>
      <x:c r="S713" t="str"/>
      <x:c r="T713" t="str"/>
      <x:c r="U713" s="18" t="n">
        <x:v>46134.041666666664</x:v>
      </x:c>
      <x:c r="V713" t="str">
        <x:v>INITIAL_IMPORT</x:v>
      </x:c>
    </x:row>
    <x:row r="714">
      <x:c r="A714" t="str">
        <x:v>PRD-JVS-0713</x:v>
      </x:c>
      <x:c r="B714" t="str">
        <x:v>JVS-0713</x:v>
      </x:c>
      <x:c r="C714" t="str">
        <x:v>Spul Lampu PX Vespa PX PS EXCEL Tebal</x:v>
      </x:c>
      <x:c r="D714" t="str">
        <x:v>Kelistrikan</x:v>
      </x:c>
      <x:c r="E714" t="str">
        <x:v>EXCEL, PX, PS</x:v>
      </x:c>
      <x:c r="F714" t="str"/>
      <x:c r="G714" s="12" t="n">
        <x:v>28</x:v>
      </x:c>
      <x:c r="H714" s="12" t="n">
        <x:v>28</x:v>
      </x:c>
      <x:c r="I714" s="12" t="n">
        <x:v>0</x:v>
      </x:c>
      <x:c r="J714" s="16" t="n">
        <x:v>0</x:v>
      </x:c>
      <x:c r="K714" s="14" t="n">
        <x:v>5</x:v>
      </x:c>
      <x:c r="L714" s="14" t="n">
        <x:v>1</x:v>
      </x:c>
      <x:c r="M714" t="str">
        <x:v>READY</x:v>
      </x:c>
      <x:c r="N714" t="str">
        <x:v>AKTIF</x:v>
      </x:c>
      <x:c r="O714" t="str"/>
      <x:c r="P714" t="str"/>
      <x:c r="Q714" t="str"/>
      <x:c r="R714" t="str"/>
      <x:c r="S714" t="str"/>
      <x:c r="T714" t="str"/>
      <x:c r="U714" s="18" t="n">
        <x:v>46134.041666666664</x:v>
      </x:c>
      <x:c r="V714" t="str">
        <x:v>INITIAL_IMPORT</x:v>
      </x:c>
    </x:row>
    <x:row r="715">
      <x:c r="A715" t="str">
        <x:v>PRD-JVS-0714</x:v>
      </x:c>
      <x:c r="B715" t="str">
        <x:v>JVS-0714</x:v>
      </x:c>
      <x:c r="C715" t="str">
        <x:v>Spul Lampu PX Vespa PX PS EXCEL Tipis</x:v>
      </x:c>
      <x:c r="D715" t="str">
        <x:v>Kelistrikan</x:v>
      </x:c>
      <x:c r="E715" t="str">
        <x:v>EXCEL, PX, PS</x:v>
      </x:c>
      <x:c r="F715" t="str"/>
      <x:c r="G715" s="12" t="n">
        <x:v>28</x:v>
      </x:c>
      <x:c r="H715" s="12" t="n">
        <x:v>28</x:v>
      </x:c>
      <x:c r="I715" s="12" t="n">
        <x:v>0</x:v>
      </x:c>
      <x:c r="J715" s="16" t="n">
        <x:v>0</x:v>
      </x:c>
      <x:c r="K715" s="14" t="n">
        <x:v>5</x:v>
      </x:c>
      <x:c r="L715" s="14" t="n">
        <x:v>1</x:v>
      </x:c>
      <x:c r="M715" t="str">
        <x:v>READY</x:v>
      </x:c>
      <x:c r="N715" t="str">
        <x:v>AKTIF</x:v>
      </x:c>
      <x:c r="O715" t="str"/>
      <x:c r="P715" t="str"/>
      <x:c r="Q715" t="str"/>
      <x:c r="R715" t="str"/>
      <x:c r="S715" t="str"/>
      <x:c r="T715" t="str"/>
      <x:c r="U715" s="18" t="n">
        <x:v>46134.041666666664</x:v>
      </x:c>
      <x:c r="V715" t="str">
        <x:v>INITIAL_IMPORT</x:v>
      </x:c>
    </x:row>
    <x:row r="716">
      <x:c r="A716" t="str">
        <x:v>PRD-JVS-0715</x:v>
      </x:c>
      <x:c r="B716" t="str">
        <x:v>JVS-0715</x:v>
      </x:c>
      <x:c r="C716" t="str">
        <x:v>Spul Platina Api Vespa Super TON</x:v>
      </x:c>
      <x:c r="D716" t="str">
        <x:v>Kelistrikan</x:v>
      </x:c>
      <x:c r="E716" t="str">
        <x:v>SUPER</x:v>
      </x:c>
      <x:c r="F716" t="str"/>
      <x:c r="G716" s="12" t="n">
        <x:v>45</x:v>
      </x:c>
      <x:c r="H716" s="12" t="n">
        <x:v>45</x:v>
      </x:c>
      <x:c r="I716" s="12" t="n">
        <x:v>0</x:v>
      </x:c>
      <x:c r="J716" s="16" t="n">
        <x:v>0</x:v>
      </x:c>
      <x:c r="K716" s="14" t="n">
        <x:v>7</x:v>
      </x:c>
      <x:c r="L716" s="14" t="n">
        <x:v>1</x:v>
      </x:c>
      <x:c r="M716" t="str">
        <x:v>READY</x:v>
      </x:c>
      <x:c r="N716" t="str">
        <x:v>AKTIF</x:v>
      </x:c>
      <x:c r="O716" t="str"/>
      <x:c r="P716" t="str"/>
      <x:c r="Q716" t="str"/>
      <x:c r="R716" t="str"/>
      <x:c r="S716" t="str"/>
      <x:c r="T716" t="str"/>
      <x:c r="U716" s="18" t="n">
        <x:v>46134.041666666664</x:v>
      </x:c>
      <x:c r="V716" t="str">
        <x:v>INITIAL_IMPORT</x:v>
      </x:c>
    </x:row>
    <x:row r="717">
      <x:c r="A717" t="str">
        <x:v>PRD-JVS-0716</x:v>
      </x:c>
      <x:c r="B717" t="str">
        <x:v>JVS-0716</x:v>
      </x:c>
      <x:c r="C717" t="str">
        <x:v>Spul Platina Vespa PX PS Import</x:v>
      </x:c>
      <x:c r="D717" t="str">
        <x:v>Kelistrikan</x:v>
      </x:c>
      <x:c r="E717" t="str">
        <x:v>PX, PS</x:v>
      </x:c>
      <x:c r="F717" t="str"/>
      <x:c r="G717" s="12" t="n">
        <x:v>30</x:v>
      </x:c>
      <x:c r="H717" s="12" t="n">
        <x:v>30</x:v>
      </x:c>
      <x:c r="I717" s="12" t="n">
        <x:v>0</x:v>
      </x:c>
      <x:c r="J717" s="16" t="n">
        <x:v>0</x:v>
      </x:c>
      <x:c r="K717" s="14" t="n">
        <x:v>5</x:v>
      </x:c>
      <x:c r="L717" s="14" t="n">
        <x:v>1</x:v>
      </x:c>
      <x:c r="M717" t="str">
        <x:v>READY</x:v>
      </x:c>
      <x:c r="N717" t="str">
        <x:v>AKTIF</x:v>
      </x:c>
      <x:c r="O717" t="str"/>
      <x:c r="P717" t="str"/>
      <x:c r="Q717" t="str"/>
      <x:c r="R717" t="str"/>
      <x:c r="S717" t="str"/>
      <x:c r="T717" t="str"/>
      <x:c r="U717" s="18" t="n">
        <x:v>46134.041666666664</x:v>
      </x:c>
      <x:c r="V717" t="str">
        <x:v>INITIAL_IMPORT</x:v>
      </x:c>
    </x:row>
    <x:row r="718">
      <x:c r="A718" t="str">
        <x:v>PRD-JVS-0717</x:v>
      </x:c>
      <x:c r="B718" t="str">
        <x:v>JVS-0717</x:v>
      </x:c>
      <x:c r="C718" t="str">
        <x:v>Spuyer Angin Pilot Jet Kecil Vespa Super Buntet Ukuran 42</x:v>
      </x:c>
      <x:c r="D718" t="str">
        <x:v>Mesin</x:v>
      </x:c>
      <x:c r="E718" t="str">
        <x:v>SUPER</x:v>
      </x:c>
      <x:c r="F718" t="str"/>
      <x:c r="G718" s="12" t="n">
        <x:v>25</x:v>
      </x:c>
      <x:c r="H718" s="12" t="n">
        <x:v>25</x:v>
      </x:c>
      <x:c r="I718" s="12" t="n">
        <x:v>0</x:v>
      </x:c>
      <x:c r="J718" s="16" t="n">
        <x:v>0</x:v>
      </x:c>
      <x:c r="K718" s="14" t="n">
        <x:v>0</x:v>
      </x:c>
      <x:c r="L718" s="14" t="n">
        <x:v>1</x:v>
      </x:c>
      <x:c r="M718" t="str">
        <x:v>OUT OF STOCK</x:v>
      </x:c>
      <x:c r="N718" t="str">
        <x:v>AKTIF</x:v>
      </x:c>
      <x:c r="O718" t="str"/>
      <x:c r="P718" t="str"/>
      <x:c r="Q718" t="str"/>
      <x:c r="R718" t="str"/>
      <x:c r="S718" t="str"/>
      <x:c r="T718" t="str"/>
      <x:c r="U718" s="18" t="n">
        <x:v>46134.041666666664</x:v>
      </x:c>
      <x:c r="V718" t="str">
        <x:v>INITIAL_IMPORT</x:v>
      </x:c>
    </x:row>
    <x:row r="719">
      <x:c r="A719" t="str">
        <x:v>PRD-JVS-0718</x:v>
      </x:c>
      <x:c r="B719" t="str">
        <x:v>JVS-0718</x:v>
      </x:c>
      <x:c r="C719" t="str">
        <x:v>Spuyer Angin Pilot jet Vespa PX Bolong Ukuran 48-160</x:v>
      </x:c>
      <x:c r="D719" t="str">
        <x:v>Mesin</x:v>
      </x:c>
      <x:c r="E719" t="str">
        <x:v>PX</x:v>
      </x:c>
      <x:c r="F719" t="str"/>
      <x:c r="G719" s="12" t="n">
        <x:v>25</x:v>
      </x:c>
      <x:c r="H719" s="12" t="n">
        <x:v>25</x:v>
      </x:c>
      <x:c r="I719" s="12" t="n">
        <x:v>0</x:v>
      </x:c>
      <x:c r="J719" s="16" t="n">
        <x:v>0</x:v>
      </x:c>
      <x:c r="K719" s="14" t="n">
        <x:v>1</x:v>
      </x:c>
      <x:c r="L719" s="14" t="n">
        <x:v>1</x:v>
      </x:c>
      <x:c r="M719" t="str">
        <x:v>LOW</x:v>
      </x:c>
      <x:c r="N719" t="str">
        <x:v>AKTIF</x:v>
      </x:c>
      <x:c r="O719" t="str"/>
      <x:c r="P719" t="str"/>
      <x:c r="Q719" t="str"/>
      <x:c r="R719" t="str"/>
      <x:c r="S719" t="str"/>
      <x:c r="T719" t="str"/>
      <x:c r="U719" s="18" t="n">
        <x:v>46134.041666666664</x:v>
      </x:c>
      <x:c r="V719" t="str">
        <x:v>INITIAL_IMPORT</x:v>
      </x:c>
    </x:row>
    <x:row r="720">
      <x:c r="A720" t="str">
        <x:v>PRD-JVS-0719</x:v>
      </x:c>
      <x:c r="B720" t="str">
        <x:v>JVS-0719</x:v>
      </x:c>
      <x:c r="C720" t="str">
        <x:v>Spuyer Angin Pilot jet Vespa Sprint Bolong Ukuran 50</x:v>
      </x:c>
      <x:c r="D720" t="str">
        <x:v>Mesin</x:v>
      </x:c>
      <x:c r="E720" t="str">
        <x:v>SPRINT</x:v>
      </x:c>
      <x:c r="F720" t="str"/>
      <x:c r="G720" s="12" t="n">
        <x:v>25</x:v>
      </x:c>
      <x:c r="H720" s="12" t="n">
        <x:v>25</x:v>
      </x:c>
      <x:c r="I720" s="12" t="n">
        <x:v>0</x:v>
      </x:c>
      <x:c r="J720" s="16" t="n">
        <x:v>0</x:v>
      </x:c>
      <x:c r="K720" s="14" t="n">
        <x:v>1</x:v>
      </x:c>
      <x:c r="L720" s="14" t="n">
        <x:v>1</x:v>
      </x:c>
      <x:c r="M720" t="str">
        <x:v>LOW</x:v>
      </x:c>
      <x:c r="N720" t="str">
        <x:v>AKTIF</x:v>
      </x:c>
      <x:c r="O720" t="str"/>
      <x:c r="P720" t="str"/>
      <x:c r="Q720" t="str"/>
      <x:c r="R720" t="str"/>
      <x:c r="S720" t="str"/>
      <x:c r="T720" t="str"/>
      <x:c r="U720" s="18" t="n">
        <x:v>46134.041666666664</x:v>
      </x:c>
      <x:c r="V720" t="str">
        <x:v>INITIAL_IMPORT</x:v>
      </x:c>
    </x:row>
    <x:row r="721">
      <x:c r="A721" t="str">
        <x:v>PRD-JVS-0720</x:v>
      </x:c>
      <x:c r="B721" t="str">
        <x:v>JVS-0720</x:v>
      </x:c>
      <x:c r="C721" t="str">
        <x:v>Spuyer Bensin Main Jet ukuran 120 Vespa Super</x:v>
      </x:c>
      <x:c r="D721" t="str">
        <x:v>Mesin</x:v>
      </x:c>
      <x:c r="E721" t="str">
        <x:v>SUPER</x:v>
      </x:c>
      <x:c r="F721" t="str"/>
      <x:c r="G721" s="12" t="n">
        <x:v>28</x:v>
      </x:c>
      <x:c r="H721" s="12" t="n">
        <x:v>28</x:v>
      </x:c>
      <x:c r="I721" s="12" t="n">
        <x:v>0</x:v>
      </x:c>
      <x:c r="J721" s="16" t="n">
        <x:v>0</x:v>
      </x:c>
      <x:c r="K721" s="14" t="n">
        <x:v>1</x:v>
      </x:c>
      <x:c r="L721" s="14" t="n">
        <x:v>1</x:v>
      </x:c>
      <x:c r="M721" t="str">
        <x:v>LOW</x:v>
      </x:c>
      <x:c r="N721" t="str">
        <x:v>AKTIF</x:v>
      </x:c>
      <x:c r="O721" t="str"/>
      <x:c r="P721" t="str"/>
      <x:c r="Q721" t="str"/>
      <x:c r="R721" t="str"/>
      <x:c r="S721" t="str"/>
      <x:c r="T721" t="str"/>
      <x:c r="U721" s="18" t="n">
        <x:v>46134.041666666664</x:v>
      </x:c>
      <x:c r="V721" t="str">
        <x:v>INITIAL_IMPORT</x:v>
      </x:c>
    </x:row>
    <x:row r="722">
      <x:c r="A722" t="str">
        <x:v>PRD-JVS-0721</x:v>
      </x:c>
      <x:c r="B722" t="str">
        <x:v>JVS-0721</x:v>
      </x:c>
      <x:c r="C722" t="str">
        <x:v>Spuyer Bensin Main Jet ukuran 160 BE3 PX</x:v>
      </x:c>
      <x:c r="D722" t="str">
        <x:v>Mesin</x:v>
      </x:c>
      <x:c r="E722" t="str">
        <x:v>PX</x:v>
      </x:c>
      <x:c r="F722" t="str"/>
      <x:c r="G722" s="12" t="n">
        <x:v>28</x:v>
      </x:c>
      <x:c r="H722" s="12" t="n">
        <x:v>28</x:v>
      </x:c>
      <x:c r="I722" s="12" t="n">
        <x:v>0</x:v>
      </x:c>
      <x:c r="J722" s="16" t="n">
        <x:v>0</x:v>
      </x:c>
      <x:c r="K722" s="14" t="n">
        <x:v>2</x:v>
      </x:c>
      <x:c r="L722" s="14" t="n">
        <x:v>1</x:v>
      </x:c>
      <x:c r="M722" t="str">
        <x:v>READY</x:v>
      </x:c>
      <x:c r="N722" t="str">
        <x:v>AKTIF</x:v>
      </x:c>
      <x:c r="O722" t="str"/>
      <x:c r="P722" t="str"/>
      <x:c r="Q722" t="str"/>
      <x:c r="R722" t="str"/>
      <x:c r="S722" t="str"/>
      <x:c r="T722" t="str"/>
      <x:c r="U722" s="18" t="n">
        <x:v>46134.041666666664</x:v>
      </x:c>
      <x:c r="V722" t="str">
        <x:v>INITIAL_IMPORT</x:v>
      </x:c>
    </x:row>
    <x:row r="723">
      <x:c r="A723" t="str">
        <x:v>PRD-JVS-0722</x:v>
      </x:c>
      <x:c r="B723" t="str">
        <x:v>JVS-0722</x:v>
      </x:c>
      <x:c r="C723" t="str">
        <x:v>Standar Samping Biasa</x:v>
      </x:c>
      <x:c r="D723" t="str">
        <x:v>Kaki-Kaki</x:v>
      </x:c>
      <x:c r="E723" t="str"/>
      <x:c r="F723" t="str"/>
      <x:c r="G723" s="12" t="n">
        <x:v>85</x:v>
      </x:c>
      <x:c r="H723" s="12" t="n">
        <x:v>85</x:v>
      </x:c>
      <x:c r="I723" s="12" t="n">
        <x:v>0</x:v>
      </x:c>
      <x:c r="J723" s="16" t="n">
        <x:v>0</x:v>
      </x:c>
      <x:c r="K723" s="14" t="n">
        <x:v>1</x:v>
      </x:c>
      <x:c r="L723" s="14" t="n">
        <x:v>1</x:v>
      </x:c>
      <x:c r="M723" t="str">
        <x:v>LOW</x:v>
      </x:c>
      <x:c r="N723" t="str">
        <x:v>AKTIF</x:v>
      </x:c>
      <x:c r="O723" t="str"/>
      <x:c r="P723" t="str"/>
      <x:c r="Q723" t="str"/>
      <x:c r="R723" t="str"/>
      <x:c r="S723" t="str"/>
      <x:c r="T723" t="str"/>
      <x:c r="U723" s="18" t="n">
        <x:v>46134.041666666664</x:v>
      </x:c>
      <x:c r="V723" t="str">
        <x:v>INITIAL_IMPORT</x:v>
      </x:c>
    </x:row>
    <x:row r="724">
      <x:c r="A724" t="str">
        <x:v>PRD-JVS-0723</x:v>
      </x:c>
      <x:c r="B724" t="str">
        <x:v>JVS-0723</x:v>
      </x:c>
      <x:c r="C724" t="str">
        <x:v>Standar Samping Model SIP Chrome</x:v>
      </x:c>
      <x:c r="D724" t="str">
        <x:v>Kaki-Kaki</x:v>
      </x:c>
      <x:c r="E724" t="str"/>
      <x:c r="F724" t="str"/>
      <x:c r="G724" s="12" t="n">
        <x:v>155</x:v>
      </x:c>
      <x:c r="H724" s="12" t="n">
        <x:v>155</x:v>
      </x:c>
      <x:c r="I724" s="12" t="n">
        <x:v>0</x:v>
      </x:c>
      <x:c r="J724" s="16" t="n">
        <x:v>0</x:v>
      </x:c>
      <x:c r="K724" s="14" t="n">
        <x:v>1</x:v>
      </x:c>
      <x:c r="L724" s="14" t="n">
        <x:v>1</x:v>
      </x:c>
      <x:c r="M724" t="str">
        <x:v>LOW</x:v>
      </x:c>
      <x:c r="N724" t="str">
        <x:v>AKTIF</x:v>
      </x:c>
      <x:c r="O724" t="str"/>
      <x:c r="P724" t="str"/>
      <x:c r="Q724" t="str"/>
      <x:c r="R724" t="str"/>
      <x:c r="S724" t="str"/>
      <x:c r="T724" t="str"/>
      <x:c r="U724" s="18" t="n">
        <x:v>46134.041666666664</x:v>
      </x:c>
      <x:c r="V724" t="str">
        <x:v>INITIAL_IMPORT</x:v>
      </x:c>
    </x:row>
    <x:row r="725">
      <x:c r="A725" t="str">
        <x:v>PRD-JVS-0724</x:v>
      </x:c>
      <x:c r="B725" t="str">
        <x:v>JVS-0724</x:v>
      </x:c>
      <x:c r="C725" t="str">
        <x:v>Standar Samping Model SIP Hitam</x:v>
      </x:c>
      <x:c r="D725" t="str">
        <x:v>Kaki-Kaki</x:v>
      </x:c>
      <x:c r="E725" t="str"/>
      <x:c r="F725" t="str"/>
      <x:c r="G725" s="12" t="n">
        <x:v>180</x:v>
      </x:c>
      <x:c r="H725" s="12" t="n">
        <x:v>180</x:v>
      </x:c>
      <x:c r="I725" s="12" t="n">
        <x:v>0</x:v>
      </x:c>
      <x:c r="J725" s="16" t="n">
        <x:v>0</x:v>
      </x:c>
      <x:c r="K725" s="14" t="n">
        <x:v>0</x:v>
      </x:c>
      <x:c r="L725" s="14" t="n">
        <x:v>1</x:v>
      </x:c>
      <x:c r="M725" t="str">
        <x:v>OUT OF STOCK</x:v>
      </x:c>
      <x:c r="N725" t="str">
        <x:v>AKTIF</x:v>
      </x:c>
      <x:c r="O725" t="str"/>
      <x:c r="P725" t="str"/>
      <x:c r="Q725" t="str"/>
      <x:c r="R725" t="str"/>
      <x:c r="S725" t="str"/>
      <x:c r="T725" t="str"/>
      <x:c r="U725" s="18" t="n">
        <x:v>46134.041666666664</x:v>
      </x:c>
      <x:c r="V725" t="str">
        <x:v>INITIAL_IMPORT</x:v>
      </x:c>
    </x:row>
    <x:row r="726">
      <x:c r="A726" t="str">
        <x:v>PRD-JVS-0725</x:v>
      </x:c>
      <x:c r="B726" t="str">
        <x:v>JVS-0725</x:v>
      </x:c>
      <x:c r="C726" t="str">
        <x:v>Standar Tengah Model Excel</x:v>
      </x:c>
      <x:c r="D726" t="str">
        <x:v>Kaki-Kaki</x:v>
      </x:c>
      <x:c r="E726" t="str">
        <x:v>EXCEL</x:v>
      </x:c>
      <x:c r="F726" t="str"/>
      <x:c r="G726" s="12" t="n">
        <x:v>85</x:v>
      </x:c>
      <x:c r="H726" s="12" t="n">
        <x:v>85</x:v>
      </x:c>
      <x:c r="I726" s="12" t="n">
        <x:v>0</x:v>
      </x:c>
      <x:c r="J726" s="16" t="n">
        <x:v>0</x:v>
      </x:c>
      <x:c r="K726" s="14" t="n">
        <x:v>0</x:v>
      </x:c>
      <x:c r="L726" s="14" t="n">
        <x:v>1</x:v>
      </x:c>
      <x:c r="M726" t="str">
        <x:v>OUT OF STOCK</x:v>
      </x:c>
      <x:c r="N726" t="str">
        <x:v>AKTIF</x:v>
      </x:c>
      <x:c r="O726" t="str"/>
      <x:c r="P726" t="str"/>
      <x:c r="Q726" t="str"/>
      <x:c r="R726" t="str"/>
      <x:c r="S726" t="str"/>
      <x:c r="T726" t="str"/>
      <x:c r="U726" s="18" t="n">
        <x:v>46134.041666666664</x:v>
      </x:c>
      <x:c r="V726" t="str">
        <x:v>INITIAL_IMPORT</x:v>
      </x:c>
    </x:row>
    <x:row r="727">
      <x:c r="A727" t="str">
        <x:v>PRD-JVS-0726</x:v>
      </x:c>
      <x:c r="B727" t="str">
        <x:v>JVS-0726</x:v>
      </x:c>
      <x:c r="C727" t="str">
        <x:v>Standar Tengah Ring 10 Tanpa Sepatu</x:v>
      </x:c>
      <x:c r="D727" t="str">
        <x:v>Kaki-Kaki</x:v>
      </x:c>
      <x:c r="E727" t="str"/>
      <x:c r="F727" t="str"/>
      <x:c r="G727" s="12" t="n">
        <x:v>75</x:v>
      </x:c>
      <x:c r="H727" s="12" t="n">
        <x:v>75</x:v>
      </x:c>
      <x:c r="I727" s="12" t="n">
        <x:v>0</x:v>
      </x:c>
      <x:c r="J727" s="16" t="n">
        <x:v>0</x:v>
      </x:c>
      <x:c r="K727" s="14" t="n">
        <x:v>2</x:v>
      </x:c>
      <x:c r="L727" s="14" t="n">
        <x:v>1</x:v>
      </x:c>
      <x:c r="M727" t="str">
        <x:v>READY</x:v>
      </x:c>
      <x:c r="N727" t="str">
        <x:v>AKTIF</x:v>
      </x:c>
      <x:c r="O727" t="str"/>
      <x:c r="P727" t="str"/>
      <x:c r="Q727" t="str"/>
      <x:c r="R727" t="str"/>
      <x:c r="S727" t="str"/>
      <x:c r="T727" t="str"/>
      <x:c r="U727" s="18" t="n">
        <x:v>46134.041666666664</x:v>
      </x:c>
      <x:c r="V727" t="str">
        <x:v>INITIAL_IMPORT</x:v>
      </x:c>
    </x:row>
    <x:row r="728">
      <x:c r="A728" t="str">
        <x:v>PRD-JVS-0727</x:v>
      </x:c>
      <x:c r="B728" t="str">
        <x:v>JVS-0727</x:v>
      </x:c>
      <x:c r="C728" t="str">
        <x:v>Standar Tengah Ring 8 Tanpa Sepatu</x:v>
      </x:c>
      <x:c r="D728" t="str">
        <x:v>Kaki-Kaki</x:v>
      </x:c>
      <x:c r="E728" t="str"/>
      <x:c r="F728" t="str"/>
      <x:c r="G728" s="12" t="n">
        <x:v>75</x:v>
      </x:c>
      <x:c r="H728" s="12" t="n">
        <x:v>75</x:v>
      </x:c>
      <x:c r="I728" s="12" t="n">
        <x:v>0</x:v>
      </x:c>
      <x:c r="J728" s="16" t="n">
        <x:v>0</x:v>
      </x:c>
      <x:c r="K728" s="14" t="n">
        <x:v>2</x:v>
      </x:c>
      <x:c r="L728" s="14" t="n">
        <x:v>1</x:v>
      </x:c>
      <x:c r="M728" t="str">
        <x:v>READY</x:v>
      </x:c>
      <x:c r="N728" t="str">
        <x:v>AKTIF</x:v>
      </x:c>
      <x:c r="O728" t="str"/>
      <x:c r="P728" t="str"/>
      <x:c r="Q728" t="str"/>
      <x:c r="R728" t="str"/>
      <x:c r="S728" t="str"/>
      <x:c r="T728" t="str"/>
      <x:c r="U728" s="18" t="n">
        <x:v>46134.041666666664</x:v>
      </x:c>
      <x:c r="V728" t="str">
        <x:v>INITIAL_IMPORT</x:v>
      </x:c>
    </x:row>
    <x:row r="729">
      <x:c r="A729" t="str">
        <x:v>PRD-JVS-0728</x:v>
      </x:c>
      <x:c r="B729" t="str">
        <x:v>JVS-0728</x:v>
      </x:c>
      <x:c r="C729" t="str">
        <x:v>Stang Seher PA atau FA Bungkus merah</x:v>
      </x:c>
      <x:c r="D729" t="str">
        <x:v>Mesin</x:v>
      </x:c>
      <x:c r="E729" t="str"/>
      <x:c r="F729" t="str"/>
      <x:c r="G729" s="12" t="n">
        <x:v>105</x:v>
      </x:c>
      <x:c r="H729" s="12" t="n">
        <x:v>105</x:v>
      </x:c>
      <x:c r="I729" s="12" t="n">
        <x:v>0</x:v>
      </x:c>
      <x:c r="J729" s="16" t="n">
        <x:v>0</x:v>
      </x:c>
      <x:c r="K729" s="14" t="n">
        <x:v>1</x:v>
      </x:c>
      <x:c r="L729" s="14" t="n">
        <x:v>1</x:v>
      </x:c>
      <x:c r="M729" t="str">
        <x:v>LOW</x:v>
      </x:c>
      <x:c r="N729" t="str">
        <x:v>AKTIF</x:v>
      </x:c>
      <x:c r="O729" t="str"/>
      <x:c r="P729" t="str"/>
      <x:c r="Q729" t="str"/>
      <x:c r="R729" t="str"/>
      <x:c r="S729" t="str"/>
      <x:c r="T729" t="str"/>
      <x:c r="U729" s="18" t="n">
        <x:v>46134.041666666664</x:v>
      </x:c>
      <x:c r="V729" t="str">
        <x:v>INITIAL_IMPORT</x:v>
      </x:c>
    </x:row>
    <x:row r="730">
      <x:c r="A730" t="str">
        <x:v>PRD-JVS-0729</x:v>
      </x:c>
      <x:c r="B730" t="str">
        <x:v>JVS-0729</x:v>
      </x:c>
      <x:c r="C730" t="str">
        <x:v>Stang Seher Ricambi</x:v>
      </x:c>
      <x:c r="D730" t="str">
        <x:v>Mesin</x:v>
      </x:c>
      <x:c r="E730" t="str"/>
      <x:c r="F730" t="str"/>
      <x:c r="G730" s="12" t="n">
        <x:v>125</x:v>
      </x:c>
      <x:c r="H730" s="12" t="n">
        <x:v>125</x:v>
      </x:c>
      <x:c r="I730" s="12" t="n">
        <x:v>0</x:v>
      </x:c>
      <x:c r="J730" s="16" t="n">
        <x:v>0</x:v>
      </x:c>
      <x:c r="K730" s="14" t="n">
        <x:v>1</x:v>
      </x:c>
      <x:c r="L730" s="14" t="n">
        <x:v>1</x:v>
      </x:c>
      <x:c r="M730" t="str">
        <x:v>LOW</x:v>
      </x:c>
      <x:c r="N730" t="str">
        <x:v>AKTIF</x:v>
      </x:c>
      <x:c r="O730" t="str"/>
      <x:c r="P730" t="str"/>
      <x:c r="Q730" t="str"/>
      <x:c r="R730" t="str"/>
      <x:c r="S730" t="str"/>
      <x:c r="T730" t="str"/>
      <x:c r="U730" s="18" t="n">
        <x:v>46134.041666666664</x:v>
      </x:c>
      <x:c r="V730" t="str">
        <x:v>INITIAL_IMPORT</x:v>
      </x:c>
    </x:row>
    <x:row r="731">
      <x:c r="A731" t="str">
        <x:v>PRD-JVS-0730</x:v>
      </x:c>
      <x:c r="B731" t="str">
        <x:v>JVS-0730</x:v>
      </x:c>
      <x:c r="C731" t="str">
        <x:v>Stik Kiri Stang Versneling vespa Excel</x:v>
      </x:c>
      <x:c r="D731" t="str">
        <x:v>Body</x:v>
      </x:c>
      <x:c r="E731" t="str">
        <x:v>EXCEL</x:v>
      </x:c>
      <x:c r="F731" t="str"/>
      <x:c r="G731" s="12" t="n">
        <x:v>90</x:v>
      </x:c>
      <x:c r="H731" s="12" t="n">
        <x:v>90</x:v>
      </x:c>
      <x:c r="I731" s="12" t="n">
        <x:v>0</x:v>
      </x:c>
      <x:c r="J731" s="16" t="n">
        <x:v>0</x:v>
      </x:c>
      <x:c r="K731" s="14" t="n">
        <x:v>2</x:v>
      </x:c>
      <x:c r="L731" s="14" t="n">
        <x:v>1</x:v>
      </x:c>
      <x:c r="M731" t="str">
        <x:v>READY</x:v>
      </x:c>
      <x:c r="N731" t="str">
        <x:v>AKTIF</x:v>
      </x:c>
      <x:c r="O731" t="str"/>
      <x:c r="P731" t="str"/>
      <x:c r="Q731" t="str"/>
      <x:c r="R731" t="str"/>
      <x:c r="S731" t="str"/>
      <x:c r="T731" t="str"/>
      <x:c r="U731" s="18" t="n">
        <x:v>46134.041666666664</x:v>
      </x:c>
      <x:c r="V731" t="str">
        <x:v>INITIAL_IMPORT</x:v>
      </x:c>
    </x:row>
    <x:row r="732">
      <x:c r="A732" t="str">
        <x:v>PRD-JVS-0731</x:v>
      </x:c>
      <x:c r="B732" t="str">
        <x:v>JVS-0731</x:v>
      </x:c>
      <x:c r="C732" t="str">
        <x:v>Stik Kiri Stang Versneling vespa PX</x:v>
      </x:c>
      <x:c r="D732" t="str">
        <x:v>Body</x:v>
      </x:c>
      <x:c r="E732" t="str">
        <x:v>PX</x:v>
      </x:c>
      <x:c r="F732" t="str"/>
      <x:c r="G732" s="12" t="n">
        <x:v>90</x:v>
      </x:c>
      <x:c r="H732" s="12" t="n">
        <x:v>90</x:v>
      </x:c>
      <x:c r="I732" s="12" t="n">
        <x:v>0</x:v>
      </x:c>
      <x:c r="J732" s="16" t="n">
        <x:v>0</x:v>
      </x:c>
      <x:c r="K732" s="14" t="n">
        <x:v>2</x:v>
      </x:c>
      <x:c r="L732" s="14" t="n">
        <x:v>1</x:v>
      </x:c>
      <x:c r="M732" t="str">
        <x:v>READY</x:v>
      </x:c>
      <x:c r="N732" t="str">
        <x:v>AKTIF</x:v>
      </x:c>
      <x:c r="O732" t="str"/>
      <x:c r="P732" t="str"/>
      <x:c r="Q732" t="str"/>
      <x:c r="R732" t="str"/>
      <x:c r="S732" t="str"/>
      <x:c r="T732" t="str"/>
      <x:c r="U732" s="18" t="n">
        <x:v>46134.041666666664</x:v>
      </x:c>
      <x:c r="V732" t="str">
        <x:v>INITIAL_IMPORT</x:v>
      </x:c>
    </x:row>
    <x:row r="733">
      <x:c r="A733" t="str">
        <x:v>PRD-JVS-0732</x:v>
      </x:c>
      <x:c r="B733" t="str">
        <x:v>JVS-0732</x:v>
      </x:c>
      <x:c r="C733" t="str">
        <x:v>Stik Kiri Stang Versneling vespa Super 78</x:v>
      </x:c>
      <x:c r="D733" t="str">
        <x:v>Body</x:v>
      </x:c>
      <x:c r="E733" t="str">
        <x:v>SUPER</x:v>
      </x:c>
      <x:c r="F733" t="str"/>
      <x:c r="G733" s="12" t="n">
        <x:v>85</x:v>
      </x:c>
      <x:c r="H733" s="12" t="n">
        <x:v>85</x:v>
      </x:c>
      <x:c r="I733" s="12" t="n">
        <x:v>0</x:v>
      </x:c>
      <x:c r="J733" s="16" t="n">
        <x:v>0</x:v>
      </x:c>
      <x:c r="K733" s="14" t="n">
        <x:v>2</x:v>
      </x:c>
      <x:c r="L733" s="14" t="n">
        <x:v>1</x:v>
      </x:c>
      <x:c r="M733" t="str">
        <x:v>READY</x:v>
      </x:c>
      <x:c r="N733" t="str">
        <x:v>AKTIF</x:v>
      </x:c>
      <x:c r="O733" t="str"/>
      <x:c r="P733" t="str"/>
      <x:c r="Q733" t="str"/>
      <x:c r="R733" t="str"/>
      <x:c r="S733" t="str"/>
      <x:c r="T733" t="str"/>
      <x:c r="U733" s="18" t="n">
        <x:v>46134.041666666664</x:v>
      </x:c>
      <x:c r="V733" t="str">
        <x:v>INITIAL_IMPORT</x:v>
      </x:c>
    </x:row>
    <x:row r="734">
      <x:c r="A734" t="str">
        <x:v>PRD-JVS-0733</x:v>
      </x:c>
      <x:c r="B734" t="str">
        <x:v>JVS-0733</x:v>
      </x:c>
      <x:c r="C734" t="str">
        <x:v>Stik Kiri Stang Versneling vespa Super lama</x:v>
      </x:c>
      <x:c r="D734" t="str">
        <x:v>Body</x:v>
      </x:c>
      <x:c r="E734" t="str">
        <x:v>SUPER</x:v>
      </x:c>
      <x:c r="F734" t="str"/>
      <x:c r="G734" s="12" t="n">
        <x:v>85</x:v>
      </x:c>
      <x:c r="H734" s="12" t="n">
        <x:v>85</x:v>
      </x:c>
      <x:c r="I734" s="12" t="n">
        <x:v>0</x:v>
      </x:c>
      <x:c r="J734" s="16" t="n">
        <x:v>0</x:v>
      </x:c>
      <x:c r="K734" s="14" t="n">
        <x:v>1</x:v>
      </x:c>
      <x:c r="L734" s="14" t="n">
        <x:v>1</x:v>
      </x:c>
      <x:c r="M734" t="str">
        <x:v>LOW</x:v>
      </x:c>
      <x:c r="N734" t="str">
        <x:v>AKTIF</x:v>
      </x:c>
      <x:c r="O734" t="str"/>
      <x:c r="P734" t="str"/>
      <x:c r="Q734" t="str"/>
      <x:c r="R734" t="str"/>
      <x:c r="S734" t="str"/>
      <x:c r="T734" t="str"/>
      <x:c r="U734" s="18" t="n">
        <x:v>46134.041666666664</x:v>
      </x:c>
      <x:c r="V734" t="str">
        <x:v>INITIAL_IMPORT</x:v>
      </x:c>
    </x:row>
    <x:row r="735">
      <x:c r="A735" t="str">
        <x:v>PRD-JVS-0734</x:v>
      </x:c>
      <x:c r="B735" t="str">
        <x:v>JVS-0734</x:v>
      </x:c>
      <x:c r="C735" t="str">
        <x:v>Stiker warning Silver bagasi vespa PX</x:v>
      </x:c>
      <x:c r="D735" t="str">
        <x:v>Aksesoris</x:v>
      </x:c>
      <x:c r="E735" t="str">
        <x:v>PX</x:v>
      </x:c>
      <x:c r="F735" t="str"/>
      <x:c r="G735" s="12" t="n">
        <x:v>10</x:v>
      </x:c>
      <x:c r="H735" s="12" t="n">
        <x:v>10</x:v>
      </x:c>
      <x:c r="I735" s="12" t="n">
        <x:v>0</x:v>
      </x:c>
      <x:c r="J735" s="16" t="n">
        <x:v>0</x:v>
      </x:c>
      <x:c r="K735" s="14" t="n">
        <x:v>0</x:v>
      </x:c>
      <x:c r="L735" s="14" t="n">
        <x:v>1</x:v>
      </x:c>
      <x:c r="M735" t="str">
        <x:v>OUT OF STOCK</x:v>
      </x:c>
      <x:c r="N735" t="str">
        <x:v>AKTIF</x:v>
      </x:c>
      <x:c r="O735" t="str"/>
      <x:c r="P735" t="str"/>
      <x:c r="Q735" t="str"/>
      <x:c r="R735" t="str"/>
      <x:c r="S735" t="str"/>
      <x:c r="T735" t="str"/>
      <x:c r="U735" s="18" t="n">
        <x:v>46134.041666666664</x:v>
      </x:c>
      <x:c r="V735" t="str">
        <x:v>INITIAL_IMPORT</x:v>
      </x:c>
    </x:row>
    <x:row r="736">
      <x:c r="A736" t="str">
        <x:v>PRD-JVS-0735</x:v>
      </x:c>
      <x:c r="B736" t="str">
        <x:v>JVS-0735</x:v>
      </x:c>
      <x:c r="C736" t="str">
        <x:v>Stoplamp PX PS Strada Merk Kiwi</x:v>
      </x:c>
      <x:c r="D736" t="str">
        <x:v>Body</x:v>
      </x:c>
      <x:c r="E736" t="str">
        <x:v>PX, PS, STRADA</x:v>
      </x:c>
      <x:c r="F736" t="str"/>
      <x:c r="G736" s="12" t="n">
        <x:v>110</x:v>
      </x:c>
      <x:c r="H736" s="12" t="n">
        <x:v>110</x:v>
      </x:c>
      <x:c r="I736" s="12" t="n">
        <x:v>0</x:v>
      </x:c>
      <x:c r="J736" s="16" t="n">
        <x:v>0</x:v>
      </x:c>
      <x:c r="K736" s="14" t="n">
        <x:v>1</x:v>
      </x:c>
      <x:c r="L736" s="14" t="n">
        <x:v>1</x:v>
      </x:c>
      <x:c r="M736" t="str">
        <x:v>LOW</x:v>
      </x:c>
      <x:c r="N736" t="str">
        <x:v>AKTIF</x:v>
      </x:c>
      <x:c r="O736" t="str"/>
      <x:c r="P736" t="str"/>
      <x:c r="Q736" t="str"/>
      <x:c r="R736" t="str"/>
      <x:c r="S736" t="str"/>
      <x:c r="T736" t="str"/>
      <x:c r="U736" s="18" t="n">
        <x:v>46134.041666666664</x:v>
      </x:c>
      <x:c r="V736" t="str">
        <x:v>INITIAL_IMPORT</x:v>
      </x:c>
    </x:row>
    <x:row r="737">
      <x:c r="A737" t="str">
        <x:v>PRD-JVS-0736</x:v>
      </x:c>
      <x:c r="B737" t="str">
        <x:v>JVS-0736</x:v>
      </x:c>
      <x:c r="C737" t="str">
        <x:v>Stoplamp Set Vespa Super 66 Lokal</x:v>
      </x:c>
      <x:c r="D737" t="str">
        <x:v>Body</x:v>
      </x:c>
      <x:c r="E737" t="str">
        <x:v>SUPER</x:v>
      </x:c>
      <x:c r="F737" t="str"/>
      <x:c r="G737" s="12" t="n">
        <x:v>75</x:v>
      </x:c>
      <x:c r="H737" s="12" t="n">
        <x:v>75</x:v>
      </x:c>
      <x:c r="I737" s="12" t="n">
        <x:v>0</x:v>
      </x:c>
      <x:c r="J737" s="16" t="n">
        <x:v>0</x:v>
      </x:c>
      <x:c r="K737" s="14" t="n">
        <x:v>1</x:v>
      </x:c>
      <x:c r="L737" s="14" t="n">
        <x:v>1</x:v>
      </x:c>
      <x:c r="M737" t="str">
        <x:v>LOW</x:v>
      </x:c>
      <x:c r="N737" t="str">
        <x:v>AKTIF</x:v>
      </x:c>
      <x:c r="O737" t="str"/>
      <x:c r="P737" t="str"/>
      <x:c r="Q737" t="str"/>
      <x:c r="R737" t="str"/>
      <x:c r="S737" t="str"/>
      <x:c r="T737" t="str"/>
      <x:c r="U737" s="18" t="n">
        <x:v>46134.041666666664</x:v>
      </x:c>
      <x:c r="V737" t="str">
        <x:v>INITIAL_IMPORT</x:v>
      </x:c>
    </x:row>
    <x:row r="738">
      <x:c r="A738" t="str">
        <x:v>PRD-JVS-0737</x:v>
      </x:c>
      <x:c r="B738" t="str">
        <x:v>JVS-0737</x:v>
      </x:c>
      <x:c r="C738" t="str">
        <x:v>Stoplamp Set Vespa Super Muda Lokal</x:v>
      </x:c>
      <x:c r="D738" t="str">
        <x:v>Body</x:v>
      </x:c>
      <x:c r="E738" t="str">
        <x:v>SUPER</x:v>
      </x:c>
      <x:c r="F738" t="str"/>
      <x:c r="G738" s="12" t="n">
        <x:v>85</x:v>
      </x:c>
      <x:c r="H738" s="12" t="n">
        <x:v>85</x:v>
      </x:c>
      <x:c r="I738" s="12" t="n">
        <x:v>0</x:v>
      </x:c>
      <x:c r="J738" s="16" t="n">
        <x:v>0</x:v>
      </x:c>
      <x:c r="K738" s="14" t="n">
        <x:v>1</x:v>
      </x:c>
      <x:c r="L738" s="14" t="n">
        <x:v>1</x:v>
      </x:c>
      <x:c r="M738" t="str">
        <x:v>LOW</x:v>
      </x:c>
      <x:c r="N738" t="str">
        <x:v>AKTIF</x:v>
      </x:c>
      <x:c r="O738" t="str"/>
      <x:c r="P738" t="str"/>
      <x:c r="Q738" t="str"/>
      <x:c r="R738" t="str"/>
      <x:c r="S738" t="str"/>
      <x:c r="T738" t="str"/>
      <x:c r="U738" s="18" t="n">
        <x:v>46134.041666666664</x:v>
      </x:c>
      <x:c r="V738" t="str">
        <x:v>INITIAL_IMPORT</x:v>
      </x:c>
    </x:row>
    <x:row r="739">
      <x:c r="A739" t="str">
        <x:v>PRD-JVS-0738</x:v>
      </x:c>
      <x:c r="B739" t="str">
        <x:v>JVS-0738</x:v>
      </x:c>
      <x:c r="C739" t="str">
        <x:v>Stoplamp Vespa Belimbing VBB Import</x:v>
      </x:c>
      <x:c r="D739" t="str">
        <x:v>Body</x:v>
      </x:c>
      <x:c r="E739" t="str">
        <x:v>VBB</x:v>
      </x:c>
      <x:c r="F739" t="str"/>
      <x:c r="G739" s="12" t="n">
        <x:v>65</x:v>
      </x:c>
      <x:c r="H739" s="12" t="n">
        <x:v>65</x:v>
      </x:c>
      <x:c r="I739" s="12" t="n">
        <x:v>0</x:v>
      </x:c>
      <x:c r="J739" s="16" t="n">
        <x:v>0</x:v>
      </x:c>
      <x:c r="K739" s="14" t="n">
        <x:v>0</x:v>
      </x:c>
      <x:c r="L739" s="14" t="n">
        <x:v>1</x:v>
      </x:c>
      <x:c r="M739" t="str">
        <x:v>OUT OF STOCK</x:v>
      </x:c>
      <x:c r="N739" t="str">
        <x:v>AKTIF</x:v>
      </x:c>
      <x:c r="O739" t="str"/>
      <x:c r="P739" t="str"/>
      <x:c r="Q739" t="str"/>
      <x:c r="R739" t="str"/>
      <x:c r="S739" t="str"/>
      <x:c r="T739" t="str"/>
      <x:c r="U739" s="18" t="n">
        <x:v>46134.041666666664</x:v>
      </x:c>
      <x:c r="V739" t="str">
        <x:v>INITIAL_IMPORT</x:v>
      </x:c>
    </x:row>
    <x:row r="740">
      <x:c r="A740" t="str">
        <x:v>PRD-JVS-0739</x:v>
      </x:c>
      <x:c r="B740" t="str">
        <x:v>JVS-0739</x:v>
      </x:c>
      <x:c r="C740" t="str">
        <x:v>Stoplamp Vespa Super Sprint Muda Import</x:v>
      </x:c>
      <x:c r="D740" t="str">
        <x:v>Body</x:v>
      </x:c>
      <x:c r="E740" t="str">
        <x:v>SUPER, SPRINT</x:v>
      </x:c>
      <x:c r="F740" t="str"/>
      <x:c r="G740" s="12" t="str"/>
      <x:c r="H740" s="12" t="str"/>
      <x:c r="I740" s="12" t="str"/>
      <x:c r="J740" s="16" t="str"/>
      <x:c r="K740" s="14" t="n">
        <x:v>1</x:v>
      </x:c>
      <x:c r="L740" s="14" t="n">
        <x:v>1</x:v>
      </x:c>
      <x:c r="M740" t="str">
        <x:v>LOW</x:v>
      </x:c>
      <x:c r="N740" t="str">
        <x:v>AKTIF</x:v>
      </x:c>
      <x:c r="O740" t="str"/>
      <x:c r="P740" t="str"/>
      <x:c r="Q740" t="str"/>
      <x:c r="R740" t="str"/>
      <x:c r="S740" t="str"/>
      <x:c r="T740" t="str"/>
      <x:c r="U740" s="18" t="n">
        <x:v>46134.041666666664</x:v>
      </x:c>
      <x:c r="V740" t="str">
        <x:v>INITIAL_IMPORT</x:v>
      </x:c>
    </x:row>
    <x:row r="741">
      <x:c r="A741" t="str">
        <x:v>PRD-JVS-0740</x:v>
      </x:c>
      <x:c r="B741" t="str">
        <x:v>JVS-0740</x:v>
      </x:c>
      <x:c r="C741" t="str">
        <x:v>Stut Kuningan Kopling Panjang Bajaj Tahun Tua</x:v>
      </x:c>
      <x:c r="D741" t="str">
        <x:v>Mesin</x:v>
      </x:c>
      <x:c r="E741" t="str">
        <x:v>BAJAJ</x:v>
      </x:c>
      <x:c r="F741" t="str"/>
      <x:c r="G741" s="12" t="n">
        <x:v>25</x:v>
      </x:c>
      <x:c r="H741" s="12" t="n">
        <x:v>25</x:v>
      </x:c>
      <x:c r="I741" s="12" t="n">
        <x:v>0</x:v>
      </x:c>
      <x:c r="J741" s="16" t="n">
        <x:v>0</x:v>
      </x:c>
      <x:c r="K741" s="14" t="n">
        <x:v>1</x:v>
      </x:c>
      <x:c r="L741" s="14" t="n">
        <x:v>1</x:v>
      </x:c>
      <x:c r="M741" t="str">
        <x:v>LOW</x:v>
      </x:c>
      <x:c r="N741" t="str">
        <x:v>AKTIF</x:v>
      </x:c>
      <x:c r="O741" t="str"/>
      <x:c r="P741" t="str"/>
      <x:c r="Q741" t="str"/>
      <x:c r="R741" t="str"/>
      <x:c r="S741" t="str"/>
      <x:c r="T741" t="str"/>
      <x:c r="U741" s="18" t="n">
        <x:v>46134.041666666664</x:v>
      </x:c>
      <x:c r="V741" t="str">
        <x:v>INITIAL_IMPORT</x:v>
      </x:c>
    </x:row>
    <x:row r="742">
      <x:c r="A742" t="str">
        <x:v>PRD-JVS-0741</x:v>
      </x:c>
      <x:c r="B742" t="str">
        <x:v>JVS-0741</x:v>
      </x:c>
      <x:c r="C742" t="str">
        <x:v>Stut Kuningan Kopling Panjang PTS Tinggi</x:v>
      </x:c>
      <x:c r="D742" t="str">
        <x:v>Mesin</x:v>
      </x:c>
      <x:c r="E742" t="str">
        <x:v>PTS</x:v>
      </x:c>
      <x:c r="F742" t="str"/>
      <x:c r="G742" s="12" t="n">
        <x:v>40</x:v>
      </x:c>
      <x:c r="H742" s="12" t="n">
        <x:v>40</x:v>
      </x:c>
      <x:c r="I742" s="12" t="n">
        <x:v>0</x:v>
      </x:c>
      <x:c r="J742" s="16" t="n">
        <x:v>0</x:v>
      </x:c>
      <x:c r="K742" s="14" t="n">
        <x:v>2</x:v>
      </x:c>
      <x:c r="L742" s="14" t="n">
        <x:v>1</x:v>
      </x:c>
      <x:c r="M742" t="str">
        <x:v>READY</x:v>
      </x:c>
      <x:c r="N742" t="str">
        <x:v>AKTIF</x:v>
      </x:c>
      <x:c r="O742" t="str"/>
      <x:c r="P742" t="str"/>
      <x:c r="Q742" t="str"/>
      <x:c r="R742" t="str"/>
      <x:c r="S742" t="str"/>
      <x:c r="T742" t="str"/>
      <x:c r="U742" s="18" t="n">
        <x:v>46134.041666666664</x:v>
      </x:c>
      <x:c r="V742" t="str">
        <x:v>INITIAL_IMPORT</x:v>
      </x:c>
    </x:row>
    <x:row r="743">
      <x:c r="A743" t="str">
        <x:v>PRD-JVS-0742</x:v>
      </x:c>
      <x:c r="B743" t="str">
        <x:v>JVS-0742</x:v>
      </x:c>
      <x:c r="C743" t="str">
        <x:v>Stut Kuningan Kopling Pendek</x:v>
      </x:c>
      <x:c r="D743" t="str">
        <x:v>Mesin</x:v>
      </x:c>
      <x:c r="E743" t="str"/>
      <x:c r="F743" t="str"/>
      <x:c r="G743" s="12" t="n">
        <x:v>15</x:v>
      </x:c>
      <x:c r="H743" s="12" t="n">
        <x:v>15</x:v>
      </x:c>
      <x:c r="I743" s="12" t="n">
        <x:v>0</x:v>
      </x:c>
      <x:c r="J743" s="16" t="n">
        <x:v>0</x:v>
      </x:c>
      <x:c r="K743" s="14" t="n">
        <x:v>5</x:v>
      </x:c>
      <x:c r="L743" s="14" t="n">
        <x:v>1</x:v>
      </x:c>
      <x:c r="M743" t="str">
        <x:v>READY</x:v>
      </x:c>
      <x:c r="N743" t="str">
        <x:v>AKTIF</x:v>
      </x:c>
      <x:c r="O743" t="str"/>
      <x:c r="P743" t="str"/>
      <x:c r="Q743" t="str"/>
      <x:c r="R743" t="str"/>
      <x:c r="S743" t="str"/>
      <x:c r="T743" t="str"/>
      <x:c r="U743" s="18" t="n">
        <x:v>46134.041666666664</x:v>
      </x:c>
      <x:c r="V743" t="str">
        <x:v>INITIAL_IMPORT</x:v>
      </x:c>
    </x:row>
    <x:row r="744">
      <x:c r="A744" t="str">
        <x:v>PRD-JVS-0743</x:v>
      </x:c>
      <x:c r="B744" t="str">
        <x:v>JVS-0743</x:v>
      </x:c>
      <x:c r="C744" t="str">
        <x:v>Switch Rem Vespa PX Merk Danmotor</x:v>
      </x:c>
      <x:c r="D744" t="str">
        <x:v>Kaki-Kaki</x:v>
      </x:c>
      <x:c r="E744" t="str">
        <x:v>PX</x:v>
      </x:c>
      <x:c r="F744" t="str"/>
      <x:c r="G744" s="12" t="n">
        <x:v>40</x:v>
      </x:c>
      <x:c r="H744" s="12" t="n">
        <x:v>40</x:v>
      </x:c>
      <x:c r="I744" s="12" t="n">
        <x:v>0</x:v>
      </x:c>
      <x:c r="J744" s="16" t="n">
        <x:v>0</x:v>
      </x:c>
      <x:c r="K744" s="14" t="n">
        <x:v>0</x:v>
      </x:c>
      <x:c r="L744" s="14" t="n">
        <x:v>1</x:v>
      </x:c>
      <x:c r="M744" t="str">
        <x:v>OUT OF STOCK</x:v>
      </x:c>
      <x:c r="N744" t="str">
        <x:v>AKTIF</x:v>
      </x:c>
      <x:c r="O744" t="str"/>
      <x:c r="P744" t="str"/>
      <x:c r="Q744" t="str"/>
      <x:c r="R744" t="str"/>
      <x:c r="S744" t="str"/>
      <x:c r="T744" t="str"/>
      <x:c r="U744" s="18" t="n">
        <x:v>46134.041666666664</x:v>
      </x:c>
      <x:c r="V744" t="str">
        <x:v>INITIAL_IMPORT</x:v>
      </x:c>
    </x:row>
    <x:row r="745">
      <x:c r="A745" t="str">
        <x:v>PRD-JVS-0744</x:v>
      </x:c>
      <x:c r="B745" t="str">
        <x:v>JVS-0744</x:v>
      </x:c>
      <x:c r="C745" t="str">
        <x:v>Switch Rem Vespa PX Merk Lokal</x:v>
      </x:c>
      <x:c r="D745" t="str">
        <x:v>Kaki-Kaki</x:v>
      </x:c>
      <x:c r="E745" t="str">
        <x:v>PX</x:v>
      </x:c>
      <x:c r="F745" t="str"/>
      <x:c r="G745" s="12" t="n">
        <x:v>25</x:v>
      </x:c>
      <x:c r="H745" s="12" t="n">
        <x:v>25</x:v>
      </x:c>
      <x:c r="I745" s="12" t="n">
        <x:v>0</x:v>
      </x:c>
      <x:c r="J745" s="16" t="n">
        <x:v>0</x:v>
      </x:c>
      <x:c r="K745" s="14" t="n">
        <x:v>1</x:v>
      </x:c>
      <x:c r="L745" s="14" t="n">
        <x:v>1</x:v>
      </x:c>
      <x:c r="M745" t="str">
        <x:v>LOW</x:v>
      </x:c>
      <x:c r="N745" t="str">
        <x:v>AKTIF</x:v>
      </x:c>
      <x:c r="O745" t="str"/>
      <x:c r="P745" t="str"/>
      <x:c r="Q745" t="str"/>
      <x:c r="R745" t="str"/>
      <x:c r="S745" t="str"/>
      <x:c r="T745" t="str"/>
      <x:c r="U745" s="18" t="n">
        <x:v>46134.041666666664</x:v>
      </x:c>
      <x:c r="V745" t="str">
        <x:v>INITIAL_IMPORT</x:v>
      </x:c>
    </x:row>
    <x:row r="746">
      <x:c r="A746" t="str">
        <x:v>PRD-JVS-0745</x:v>
      </x:c>
      <x:c r="B746" t="str">
        <x:v>JVS-0745</x:v>
      </x:c>
      <x:c r="C746" t="str">
        <x:v>Switch Rem Vespa Super Import</x:v>
      </x:c>
      <x:c r="D746" t="str">
        <x:v>Kaki-Kaki</x:v>
      </x:c>
      <x:c r="E746" t="str">
        <x:v>SUPER</x:v>
      </x:c>
      <x:c r="F746" t="str"/>
      <x:c r="G746" s="12" t="n">
        <x:v>25</x:v>
      </x:c>
      <x:c r="H746" s="12" t="n">
        <x:v>25</x:v>
      </x:c>
      <x:c r="I746" s="12" t="n">
        <x:v>0</x:v>
      </x:c>
      <x:c r="J746" s="16" t="n">
        <x:v>0</x:v>
      </x:c>
      <x:c r="K746" s="14" t="n">
        <x:v>2</x:v>
      </x:c>
      <x:c r="L746" s="14" t="n">
        <x:v>1</x:v>
      </x:c>
      <x:c r="M746" t="str">
        <x:v>READY</x:v>
      </x:c>
      <x:c r="N746" t="str">
        <x:v>AKTIF</x:v>
      </x:c>
      <x:c r="O746" t="str"/>
      <x:c r="P746" t="str"/>
      <x:c r="Q746" t="str"/>
      <x:c r="R746" t="str"/>
      <x:c r="S746" t="str"/>
      <x:c r="T746" t="str"/>
      <x:c r="U746" s="18" t="n">
        <x:v>46134.041666666664</x:v>
      </x:c>
      <x:c r="V746" t="str">
        <x:v>INITIAL_IMPORT</x:v>
      </x:c>
    </x:row>
    <x:row r="747">
      <x:c r="A747" t="str">
        <x:v>PRD-JVS-0746</x:v>
      </x:c>
      <x:c r="B747" t="str">
        <x:v>JVS-0746</x:v>
      </x:c>
      <x:c r="C747" t="str">
        <x:v>Switch Selongsong Sein Tepong Vespa PX</x:v>
      </x:c>
      <x:c r="D747" t="str">
        <x:v>Kelistrikan</x:v>
      </x:c>
      <x:c r="E747" t="str">
        <x:v>PX</x:v>
      </x:c>
      <x:c r="F747" t="str"/>
      <x:c r="G747" s="12" t="n">
        <x:v>17</x:v>
      </x:c>
      <x:c r="H747" s="12" t="n">
        <x:v>17</x:v>
      </x:c>
      <x:c r="I747" s="12" t="n">
        <x:v>0</x:v>
      </x:c>
      <x:c r="J747" s="16" t="n">
        <x:v>0</x:v>
      </x:c>
      <x:c r="K747" s="14" t="n">
        <x:v>7</x:v>
      </x:c>
      <x:c r="L747" s="14" t="n">
        <x:v>1</x:v>
      </x:c>
      <x:c r="M747" t="str">
        <x:v>READY</x:v>
      </x:c>
      <x:c r="N747" t="str">
        <x:v>AKTIF</x:v>
      </x:c>
      <x:c r="O747" t="str"/>
      <x:c r="P747" t="str"/>
      <x:c r="Q747" t="str"/>
      <x:c r="R747" t="str"/>
      <x:c r="S747" t="str"/>
      <x:c r="T747" t="str"/>
      <x:c r="U747" s="18" t="n">
        <x:v>46134.041666666664</x:v>
      </x:c>
      <x:c r="V747" t="str">
        <x:v>INITIAL_IMPORT</x:v>
      </x:c>
    </x:row>
    <x:row r="748">
      <x:c r="A748" t="str">
        <x:v>PRD-JVS-0747</x:v>
      </x:c>
      <x:c r="B748" t="str">
        <x:v>JVS-0747</x:v>
      </x:c>
      <x:c r="C748" t="str">
        <x:v>Switch Socket Kunci Kontak Vespa Excel PXE Kabel 4</x:v>
      </x:c>
      <x:c r="D748" t="str">
        <x:v>Kelistrikan</x:v>
      </x:c>
      <x:c r="E748" t="str">
        <x:v>EXCEL, PXE, PX</x:v>
      </x:c>
      <x:c r="F748" t="str"/>
      <x:c r="G748" s="12" t="n">
        <x:v>55</x:v>
      </x:c>
      <x:c r="H748" s="12" t="n">
        <x:v>55</x:v>
      </x:c>
      <x:c r="I748" s="12" t="n">
        <x:v>0</x:v>
      </x:c>
      <x:c r="J748" s="16" t="n">
        <x:v>0</x:v>
      </x:c>
      <x:c r="K748" s="14" t="n">
        <x:v>2</x:v>
      </x:c>
      <x:c r="L748" s="14" t="n">
        <x:v>1</x:v>
      </x:c>
      <x:c r="M748" t="str">
        <x:v>READY</x:v>
      </x:c>
      <x:c r="N748" t="str">
        <x:v>AKTIF</x:v>
      </x:c>
      <x:c r="O748" t="str"/>
      <x:c r="P748" t="str"/>
      <x:c r="Q748" t="str"/>
      <x:c r="R748" t="str"/>
      <x:c r="S748" t="str"/>
      <x:c r="T748" t="str"/>
      <x:c r="U748" s="18" t="n">
        <x:v>46134.041666666664</x:v>
      </x:c>
      <x:c r="V748" t="str">
        <x:v>INITIAL_IMPORT</x:v>
      </x:c>
    </x:row>
    <x:row r="749">
      <x:c r="A749" t="str">
        <x:v>PRD-JVS-0748</x:v>
      </x:c>
      <x:c r="B749" t="str">
        <x:v>JVS-0748</x:v>
      </x:c>
      <x:c r="C749" t="str">
        <x:v>Takaran Oli Samping</x:v>
      </x:c>
      <x:c r="D749" t="str">
        <x:v>Servis</x:v>
      </x:c>
      <x:c r="E749" t="str"/>
      <x:c r="F749" t="str"/>
      <x:c r="G749" s="12" t="str"/>
      <x:c r="H749" s="12" t="str"/>
      <x:c r="I749" s="12" t="str"/>
      <x:c r="J749" s="16" t="str"/>
      <x:c r="K749" s="14" t="n">
        <x:v>21</x:v>
      </x:c>
      <x:c r="L749" s="14" t="n">
        <x:v>1</x:v>
      </x:c>
      <x:c r="M749" t="str">
        <x:v>READY</x:v>
      </x:c>
      <x:c r="N749" t="str">
        <x:v>AKTIF</x:v>
      </x:c>
      <x:c r="O749" t="str"/>
      <x:c r="P749" t="str"/>
      <x:c r="Q749" t="str"/>
      <x:c r="R749" t="str"/>
      <x:c r="S749" t="str"/>
      <x:c r="T749" t="str"/>
      <x:c r="U749" s="18" t="n">
        <x:v>46134.041666666664</x:v>
      </x:c>
      <x:c r="V749" t="str">
        <x:v>INITIAL_IMPORT</x:v>
      </x:c>
    </x:row>
    <x:row r="750">
      <x:c r="A750" t="str">
        <x:v>PRD-JVS-0749</x:v>
      </x:c>
      <x:c r="B750" t="str">
        <x:v>JVS-0749</x:v>
      </x:c>
      <x:c r="C750" t="str">
        <x:v>Tang Kombinasi 6inch Biasa</x:v>
      </x:c>
      <x:c r="D750" t="str">
        <x:v>Aksesoris</x:v>
      </x:c>
      <x:c r="E750" t="str"/>
      <x:c r="F750" t="str"/>
      <x:c r="G750" s="12" t="n">
        <x:v>18</x:v>
      </x:c>
      <x:c r="H750" s="12" t="n">
        <x:v>18</x:v>
      </x:c>
      <x:c r="I750" s="12" t="n">
        <x:v>0</x:v>
      </x:c>
      <x:c r="J750" s="16" t="n">
        <x:v>0</x:v>
      </x:c>
      <x:c r="K750" s="14" t="n">
        <x:v>4</x:v>
      </x:c>
      <x:c r="L750" s="14" t="n">
        <x:v>1</x:v>
      </x:c>
      <x:c r="M750" t="str">
        <x:v>READY</x:v>
      </x:c>
      <x:c r="N750" t="str">
        <x:v>AKTIF</x:v>
      </x:c>
      <x:c r="O750" t="str"/>
      <x:c r="P750" t="str"/>
      <x:c r="Q750" t="str"/>
      <x:c r="R750" t="str"/>
      <x:c r="S750" t="str"/>
      <x:c r="T750" t="str"/>
      <x:c r="U750" s="18" t="n">
        <x:v>46134.041666666664</x:v>
      </x:c>
      <x:c r="V750" t="str">
        <x:v>INITIAL_IMPORT</x:v>
      </x:c>
    </x:row>
    <x:row r="751">
      <x:c r="A751" t="str">
        <x:v>PRD-JVS-0750</x:v>
      </x:c>
      <x:c r="B751" t="str">
        <x:v>JVS-0750</x:v>
      </x:c>
      <x:c r="C751" t="str">
        <x:v>Tangkai Tiang Kuncian Tepong Vespa Excel Kanan</x:v>
      </x:c>
      <x:c r="D751" t="str">
        <x:v>Body</x:v>
      </x:c>
      <x:c r="E751" t="str">
        <x:v>EXCEL</x:v>
      </x:c>
      <x:c r="F751" t="str"/>
      <x:c r="G751" s="12" t="n">
        <x:v>90</x:v>
      </x:c>
      <x:c r="H751" s="12" t="n">
        <x:v>90</x:v>
      </x:c>
      <x:c r="I751" s="12" t="n">
        <x:v>0</x:v>
      </x:c>
      <x:c r="J751" s="16" t="n">
        <x:v>0</x:v>
      </x:c>
      <x:c r="K751" s="14" t="n">
        <x:v>1</x:v>
      </x:c>
      <x:c r="L751" s="14" t="n">
        <x:v>1</x:v>
      </x:c>
      <x:c r="M751" t="str">
        <x:v>LOW</x:v>
      </x:c>
      <x:c r="N751" t="str">
        <x:v>AKTIF</x:v>
      </x:c>
      <x:c r="O751" t="str"/>
      <x:c r="P751" t="str"/>
      <x:c r="Q751" t="str"/>
      <x:c r="R751" t="str"/>
      <x:c r="S751" t="str"/>
      <x:c r="T751" t="str"/>
      <x:c r="U751" s="18" t="n">
        <x:v>46134.041666666664</x:v>
      </x:c>
      <x:c r="V751" t="str">
        <x:v>INITIAL_IMPORT</x:v>
      </x:c>
    </x:row>
    <x:row r="752">
      <x:c r="A752" t="str">
        <x:v>PRD-JVS-0751</x:v>
      </x:c>
      <x:c r="B752" t="str">
        <x:v>JVS-0751</x:v>
      </x:c>
      <x:c r="C752" t="str">
        <x:v>Tangkai Tiang Kuncian Tepong Vespa Excel Kiri</x:v>
      </x:c>
      <x:c r="D752" t="str">
        <x:v>Body</x:v>
      </x:c>
      <x:c r="E752" t="str">
        <x:v>EXCEL</x:v>
      </x:c>
      <x:c r="F752" t="str"/>
      <x:c r="G752" s="12" t="n">
        <x:v>90</x:v>
      </x:c>
      <x:c r="H752" s="12" t="n">
        <x:v>90</x:v>
      </x:c>
      <x:c r="I752" s="12" t="n">
        <x:v>0</x:v>
      </x:c>
      <x:c r="J752" s="16" t="n">
        <x:v>0</x:v>
      </x:c>
      <x:c r="K752" s="14" t="n">
        <x:v>1</x:v>
      </x:c>
      <x:c r="L752" s="14" t="n">
        <x:v>1</x:v>
      </x:c>
      <x:c r="M752" t="str">
        <x:v>LOW</x:v>
      </x:c>
      <x:c r="N752" t="str">
        <x:v>AKTIF</x:v>
      </x:c>
      <x:c r="O752" t="str"/>
      <x:c r="P752" t="str"/>
      <x:c r="Q752" t="str"/>
      <x:c r="R752" t="str"/>
      <x:c r="S752" t="str"/>
      <x:c r="T752" t="str"/>
      <x:c r="U752" s="18" t="n">
        <x:v>46134.041666666664</x:v>
      </x:c>
      <x:c r="V752" t="str">
        <x:v>INITIAL_IMPORT</x:v>
      </x:c>
    </x:row>
    <x:row r="753">
      <x:c r="A753" t="str">
        <x:v>PRD-JVS-0752</x:v>
      </x:c>
      <x:c r="B753" t="str">
        <x:v>JVS-0752</x:v>
      </x:c>
      <x:c r="C753" t="str">
        <x:v>Tas Toolbag Kunci Vespa</x:v>
      </x:c>
      <x:c r="D753" t="str">
        <x:v>Aksesoris</x:v>
      </x:c>
      <x:c r="E753" t="str"/>
      <x:c r="F753" t="str"/>
      <x:c r="G753" s="12" t="n">
        <x:v>20</x:v>
      </x:c>
      <x:c r="H753" s="12" t="n">
        <x:v>20</x:v>
      </x:c>
      <x:c r="I753" s="12" t="n">
        <x:v>0</x:v>
      </x:c>
      <x:c r="J753" s="16" t="n">
        <x:v>0</x:v>
      </x:c>
      <x:c r="K753" s="14" t="n">
        <x:v>9</x:v>
      </x:c>
      <x:c r="L753" s="14" t="n">
        <x:v>1</x:v>
      </x:c>
      <x:c r="M753" t="str">
        <x:v>READY</x:v>
      </x:c>
      <x:c r="N753" t="str">
        <x:v>AKTIF</x:v>
      </x:c>
      <x:c r="O753" t="str"/>
      <x:c r="P753" t="str"/>
      <x:c r="Q753" t="str"/>
      <x:c r="R753" t="str"/>
      <x:c r="S753" t="str"/>
      <x:c r="T753" t="str"/>
      <x:c r="U753" s="18" t="n">
        <x:v>46134.041666666664</x:v>
      </x:c>
      <x:c r="V753" t="str">
        <x:v>INITIAL_IMPORT</x:v>
      </x:c>
    </x:row>
    <x:row r="754">
      <x:c r="A754" t="str">
        <x:v>PRD-JVS-0753</x:v>
      </x:c>
      <x:c r="B754" t="str">
        <x:v>JVS-0753</x:v>
      </x:c>
      <x:c r="C754" t="str">
        <x:v>Tatakan Plat Nomer Belakang Plastik Vespa Plastik</x:v>
      </x:c>
      <x:c r="D754" t="str">
        <x:v>Aksesoris</x:v>
      </x:c>
      <x:c r="E754" t="str"/>
      <x:c r="F754" t="str"/>
      <x:c r="G754" s="12" t="n">
        <x:v>13</x:v>
      </x:c>
      <x:c r="H754" s="12" t="n">
        <x:v>13</x:v>
      </x:c>
      <x:c r="I754" s="12" t="n">
        <x:v>0</x:v>
      </x:c>
      <x:c r="J754" s="16" t="n">
        <x:v>0</x:v>
      </x:c>
      <x:c r="K754" s="14" t="n">
        <x:v>3</x:v>
      </x:c>
      <x:c r="L754" s="14" t="n">
        <x:v>1</x:v>
      </x:c>
      <x:c r="M754" t="str">
        <x:v>READY</x:v>
      </x:c>
      <x:c r="N754" t="str">
        <x:v>AKTIF</x:v>
      </x:c>
      <x:c r="O754" t="str"/>
      <x:c r="P754" t="str"/>
      <x:c r="Q754" t="str"/>
      <x:c r="R754" t="str"/>
      <x:c r="S754" t="str"/>
      <x:c r="T754" t="str"/>
      <x:c r="U754" s="18" t="n">
        <x:v>46134.041666666664</x:v>
      </x:c>
      <x:c r="V754" t="str">
        <x:v>INITIAL_IMPORT</x:v>
      </x:c>
    </x:row>
    <x:row r="755">
      <x:c r="A755" t="str">
        <x:v>PRD-JVS-0754</x:v>
      </x:c>
      <x:c r="B755" t="str">
        <x:v>JVS-0754</x:v>
      </x:c>
      <x:c r="C755" t="str">
        <x:v>Tatakan Plat Nomer Belakang Vespa Besi Plat</x:v>
      </x:c>
      <x:c r="D755" t="str">
        <x:v>Aksesoris</x:v>
      </x:c>
      <x:c r="E755" t="str"/>
      <x:c r="F755" t="str"/>
      <x:c r="G755" s="12" t="n">
        <x:v>25</x:v>
      </x:c>
      <x:c r="H755" s="12" t="n">
        <x:v>25</x:v>
      </x:c>
      <x:c r="I755" s="12" t="n">
        <x:v>0</x:v>
      </x:c>
      <x:c r="J755" s="16" t="n">
        <x:v>0</x:v>
      </x:c>
      <x:c r="K755" s="14" t="n">
        <x:v>2</x:v>
      </x:c>
      <x:c r="L755" s="14" t="n">
        <x:v>1</x:v>
      </x:c>
      <x:c r="M755" t="str">
        <x:v>READY</x:v>
      </x:c>
      <x:c r="N755" t="str">
        <x:v>AKTIF</x:v>
      </x:c>
      <x:c r="O755" t="str"/>
      <x:c r="P755" t="str"/>
      <x:c r="Q755" t="str"/>
      <x:c r="R755" t="str"/>
      <x:c r="S755" t="str"/>
      <x:c r="T755" t="str"/>
      <x:c r="U755" s="18" t="n">
        <x:v>46134.041666666664</x:v>
      </x:c>
      <x:c r="V755" t="str">
        <x:v>INITIAL_IMPORT</x:v>
      </x:c>
    </x:row>
    <x:row r="756">
      <x:c r="A756" t="str">
        <x:v>PRD-JVS-0755</x:v>
      </x:c>
      <x:c r="B756" t="str">
        <x:v>JVS-0755</x:v>
      </x:c>
      <x:c r="C756" t="str">
        <x:v>Tatakan Plat Nomor Depan Vespa Super Sprint Bajaj Besi Tebal kecil hitam</x:v>
      </x:c>
      <x:c r="D756" t="str">
        <x:v>Servis</x:v>
      </x:c>
      <x:c r="E756" t="str">
        <x:v>SUPER, SPRINT, BAJAJ</x:v>
      </x:c>
      <x:c r="F756" t="str"/>
      <x:c r="G756" s="12" t="n">
        <x:v>18</x:v>
      </x:c>
      <x:c r="H756" s="12" t="n">
        <x:v>18</x:v>
      </x:c>
      <x:c r="I756" s="12" t="n">
        <x:v>0</x:v>
      </x:c>
      <x:c r="J756" s="16" t="n">
        <x:v>0</x:v>
      </x:c>
      <x:c r="K756" s="14" t="n">
        <x:v>5</x:v>
      </x:c>
      <x:c r="L756" s="14" t="n">
        <x:v>1</x:v>
      </x:c>
      <x:c r="M756" t="str">
        <x:v>READY</x:v>
      </x:c>
      <x:c r="N756" t="str">
        <x:v>AKTIF</x:v>
      </x:c>
      <x:c r="O756" t="str"/>
      <x:c r="P756" t="str"/>
      <x:c r="Q756" t="str"/>
      <x:c r="R756" t="str"/>
      <x:c r="S756" t="str"/>
      <x:c r="T756" t="str"/>
      <x:c r="U756" s="18" t="n">
        <x:v>46134.041666666664</x:v>
      </x:c>
      <x:c r="V756" t="str">
        <x:v>INITIAL_IMPORT</x:v>
      </x:c>
    </x:row>
    <x:row r="757">
      <x:c r="A757" t="str">
        <x:v>PRD-JVS-0756</x:v>
      </x:c>
      <x:c r="B757" t="str">
        <x:v>JVS-0756</x:v>
      </x:c>
      <x:c r="C757" t="str">
        <x:v>Tatakan Plat Nomor Depan Vespa Super Sprint Bajaj Plat Galvanis lebar</x:v>
      </x:c>
      <x:c r="D757" t="str">
        <x:v>Servis</x:v>
      </x:c>
      <x:c r="E757" t="str">
        <x:v>SUPER, SPRINT, BAJAJ</x:v>
      </x:c>
      <x:c r="F757" t="str"/>
      <x:c r="G757" s="12" t="n">
        <x:v>25</x:v>
      </x:c>
      <x:c r="H757" s="12" t="n">
        <x:v>25</x:v>
      </x:c>
      <x:c r="I757" s="12" t="n">
        <x:v>0</x:v>
      </x:c>
      <x:c r="J757" s="16" t="n">
        <x:v>0</x:v>
      </x:c>
      <x:c r="K757" s="14" t="n">
        <x:v>1</x:v>
      </x:c>
      <x:c r="L757" s="14" t="n">
        <x:v>1</x:v>
      </x:c>
      <x:c r="M757" t="str">
        <x:v>LOW</x:v>
      </x:c>
      <x:c r="N757" t="str">
        <x:v>AKTIF</x:v>
      </x:c>
      <x:c r="O757" t="str"/>
      <x:c r="P757" t="str"/>
      <x:c r="Q757" t="str"/>
      <x:c r="R757" t="str"/>
      <x:c r="S757" t="str"/>
      <x:c r="T757" t="str"/>
      <x:c r="U757" s="18" t="n">
        <x:v>46134.041666666664</x:v>
      </x:c>
      <x:c r="V757" t="str">
        <x:v>INITIAL_IMPORT</x:v>
      </x:c>
    </x:row>
    <x:row r="758">
      <x:c r="A758" t="str">
        <x:v>PRD-JVS-0757</x:v>
      </x:c>
      <x:c r="B758" t="str">
        <x:v>JVS-0757</x:v>
      </x:c>
      <x:c r="C758" t="str">
        <x:v>Terminal Kabel Mesin Vespa Exclusive, Excel Danmotor</x:v>
      </x:c>
      <x:c r="D758" t="str">
        <x:v>Kelistrikan</x:v>
      </x:c>
      <x:c r="E758" t="str">
        <x:v>EXCEL, EXCLUSIVE</x:v>
      </x:c>
      <x:c r="F758" t="str"/>
      <x:c r="G758" s="12" t="n">
        <x:v>15</x:v>
      </x:c>
      <x:c r="H758" s="12" t="n">
        <x:v>15</x:v>
      </x:c>
      <x:c r="I758" s="12" t="n">
        <x:v>0</x:v>
      </x:c>
      <x:c r="J758" s="16" t="n">
        <x:v>0</x:v>
      </x:c>
      <x:c r="K758" s="14" t="n">
        <x:v>2</x:v>
      </x:c>
      <x:c r="L758" s="14" t="n">
        <x:v>1</x:v>
      </x:c>
      <x:c r="M758" t="str">
        <x:v>READY</x:v>
      </x:c>
      <x:c r="N758" t="str">
        <x:v>AKTIF</x:v>
      </x:c>
      <x:c r="O758" t="str"/>
      <x:c r="P758" t="str"/>
      <x:c r="Q758" t="str"/>
      <x:c r="R758" t="str"/>
      <x:c r="S758" t="str"/>
      <x:c r="T758" t="str"/>
      <x:c r="U758" s="18" t="n">
        <x:v>46134.041666666664</x:v>
      </x:c>
      <x:c r="V758" t="str">
        <x:v>INITIAL_IMPORT</x:v>
      </x:c>
    </x:row>
    <x:row r="759">
      <x:c r="A759" t="str">
        <x:v>PRD-JVS-0758</x:v>
      </x:c>
      <x:c r="B759" t="str">
        <x:v>JVS-0758</x:v>
      </x:c>
      <x:c r="C759" t="str">
        <x:v>Terminal Kabel Vespa PTS Import</x:v>
      </x:c>
      <x:c r="D759" t="str">
        <x:v>Kelistrikan</x:v>
      </x:c>
      <x:c r="E759" t="str">
        <x:v>PTS</x:v>
      </x:c>
      <x:c r="F759" t="str"/>
      <x:c r="G759" s="12" t="n">
        <x:v>45</x:v>
      </x:c>
      <x:c r="H759" s="12" t="n">
        <x:v>45</x:v>
      </x:c>
      <x:c r="I759" s="12" t="n">
        <x:v>0</x:v>
      </x:c>
      <x:c r="J759" s="16" t="n">
        <x:v>0</x:v>
      </x:c>
      <x:c r="K759" s="14" t="n">
        <x:v>1</x:v>
      </x:c>
      <x:c r="L759" s="14" t="n">
        <x:v>1</x:v>
      </x:c>
      <x:c r="M759" t="str">
        <x:v>LOW</x:v>
      </x:c>
      <x:c r="N759" t="str">
        <x:v>AKTIF</x:v>
      </x:c>
      <x:c r="O759" t="str"/>
      <x:c r="P759" t="str"/>
      <x:c r="Q759" t="str"/>
      <x:c r="R759" t="str"/>
      <x:c r="S759" t="str"/>
      <x:c r="T759" t="str"/>
      <x:c r="U759" s="18" t="n">
        <x:v>46134.041666666664</x:v>
      </x:c>
      <x:c r="V759" t="str">
        <x:v>INITIAL_IMPORT</x:v>
      </x:c>
    </x:row>
    <x:row r="760">
      <x:c r="A760" t="str">
        <x:v>PRD-JVS-0759</x:v>
      </x:c>
      <x:c r="B760" t="str">
        <x:v>JVS-0759</x:v>
      </x:c>
      <x:c r="C760" t="str">
        <x:v>Terminal Kabel Vespa PX Import</x:v>
      </x:c>
      <x:c r="D760" t="str">
        <x:v>Kelistrikan</x:v>
      </x:c>
      <x:c r="E760" t="str">
        <x:v>PX</x:v>
      </x:c>
      <x:c r="F760" t="str"/>
      <x:c r="G760" s="12" t="n">
        <x:v>15</x:v>
      </x:c>
      <x:c r="H760" s="12" t="n">
        <x:v>15</x:v>
      </x:c>
      <x:c r="I760" s="12" t="n">
        <x:v>0</x:v>
      </x:c>
      <x:c r="J760" s="16" t="n">
        <x:v>0</x:v>
      </x:c>
      <x:c r="K760" s="14" t="n">
        <x:v>11</x:v>
      </x:c>
      <x:c r="L760" s="14" t="n">
        <x:v>1</x:v>
      </x:c>
      <x:c r="M760" t="str">
        <x:v>READY</x:v>
      </x:c>
      <x:c r="N760" t="str">
        <x:v>AKTIF</x:v>
      </x:c>
      <x:c r="O760" t="str"/>
      <x:c r="P760" t="str"/>
      <x:c r="Q760" t="str"/>
      <x:c r="R760" t="str"/>
      <x:c r="S760" t="str"/>
      <x:c r="T760" t="str"/>
      <x:c r="U760" s="18" t="n">
        <x:v>46134.041666666664</x:v>
      </x:c>
      <x:c r="V760" t="str">
        <x:v>INITIAL_IMPORT</x:v>
      </x:c>
    </x:row>
    <x:row r="761">
      <x:c r="A761" t="str">
        <x:v>PRD-JVS-0760</x:v>
      </x:c>
      <x:c r="B761" t="str">
        <x:v>JVS-0760</x:v>
      </x:c>
      <x:c r="C761" t="str">
        <x:v>Terminal Kabel Vespa Super Import</x:v>
      </x:c>
      <x:c r="D761" t="str">
        <x:v>Kelistrikan</x:v>
      </x:c>
      <x:c r="E761" t="str">
        <x:v>SUPER</x:v>
      </x:c>
      <x:c r="F761" t="str"/>
      <x:c r="G761" s="12" t="n">
        <x:v>12.5</x:v>
      </x:c>
      <x:c r="H761" s="12" t="n">
        <x:v>12.5</x:v>
      </x:c>
      <x:c r="I761" s="12" t="n">
        <x:v>0</x:v>
      </x:c>
      <x:c r="J761" s="16" t="n">
        <x:v>0</x:v>
      </x:c>
      <x:c r="K761" s="14" t="n">
        <x:v>9</x:v>
      </x:c>
      <x:c r="L761" s="14" t="n">
        <x:v>1</x:v>
      </x:c>
      <x:c r="M761" t="str">
        <x:v>READY</x:v>
      </x:c>
      <x:c r="N761" t="str">
        <x:v>AKTIF</x:v>
      </x:c>
      <x:c r="O761" t="str"/>
      <x:c r="P761" t="str"/>
      <x:c r="Q761" t="str"/>
      <x:c r="R761" t="str"/>
      <x:c r="S761" t="str"/>
      <x:c r="T761" t="str"/>
      <x:c r="U761" s="18" t="n">
        <x:v>46134.041666666664</x:v>
      </x:c>
      <x:c r="V761" t="str">
        <x:v>INITIAL_IMPORT</x:v>
      </x:c>
    </x:row>
    <x:row r="762">
      <x:c r="A762" t="str">
        <x:v>PRD-JVS-0761</x:v>
      </x:c>
      <x:c r="B762" t="str">
        <x:v>JVS-0761</x:v>
      </x:c>
      <x:c r="C762" t="str">
        <x:v>Tiang Ban Serep vespa Standar Ring 10</x:v>
      </x:c>
      <x:c r="D762" t="str">
        <x:v>Kaki-Kaki</x:v>
      </x:c>
      <x:c r="E762" t="str"/>
      <x:c r="F762" t="str"/>
      <x:c r="G762" s="12" t="n">
        <x:v>45</x:v>
      </x:c>
      <x:c r="H762" s="12" t="n">
        <x:v>45</x:v>
      </x:c>
      <x:c r="I762" s="12" t="n">
        <x:v>0</x:v>
      </x:c>
      <x:c r="J762" s="16" t="n">
        <x:v>0</x:v>
      </x:c>
      <x:c r="K762" s="14" t="n">
        <x:v>2</x:v>
      </x:c>
      <x:c r="L762" s="14" t="n">
        <x:v>1</x:v>
      </x:c>
      <x:c r="M762" t="str">
        <x:v>READY</x:v>
      </x:c>
      <x:c r="N762" t="str">
        <x:v>AKTIF</x:v>
      </x:c>
      <x:c r="O762" t="str"/>
      <x:c r="P762" t="str"/>
      <x:c r="Q762" t="str"/>
      <x:c r="R762" t="str"/>
      <x:c r="S762" t="str"/>
      <x:c r="T762" t="str"/>
      <x:c r="U762" s="18" t="n">
        <x:v>46134.041666666664</x:v>
      </x:c>
      <x:c r="V762" t="str">
        <x:v>INITIAL_IMPORT</x:v>
      </x:c>
    </x:row>
    <x:row r="763">
      <x:c r="A763" t="str">
        <x:v>PRD-JVS-0762</x:v>
      </x:c>
      <x:c r="B763" t="str">
        <x:v>JVS-0762</x:v>
      </x:c>
      <x:c r="C763" t="str">
        <x:v>Tiang Ban Serep vespa Standar Ring 8</x:v>
      </x:c>
      <x:c r="D763" t="str">
        <x:v>Kaki-Kaki</x:v>
      </x:c>
      <x:c r="E763" t="str"/>
      <x:c r="F763" t="str"/>
      <x:c r="G763" s="12" t="n">
        <x:v>40</x:v>
      </x:c>
      <x:c r="H763" s="12" t="n">
        <x:v>40</x:v>
      </x:c>
      <x:c r="I763" s="12" t="n">
        <x:v>0</x:v>
      </x:c>
      <x:c r="J763" s="16" t="n">
        <x:v>0</x:v>
      </x:c>
      <x:c r="K763" s="14" t="n">
        <x:v>4</x:v>
      </x:c>
      <x:c r="L763" s="14" t="n">
        <x:v>1</x:v>
      </x:c>
      <x:c r="M763" t="str">
        <x:v>READY</x:v>
      </x:c>
      <x:c r="N763" t="str">
        <x:v>AKTIF</x:v>
      </x:c>
      <x:c r="O763" t="str"/>
      <x:c r="P763" t="str"/>
      <x:c r="Q763" t="str"/>
      <x:c r="R763" t="str"/>
      <x:c r="S763" t="str"/>
      <x:c r="T763" t="str"/>
      <x:c r="U763" s="18" t="n">
        <x:v>46134.041666666664</x:v>
      </x:c>
      <x:c r="V763" t="str">
        <x:v>INITIAL_IMPORT</x:v>
      </x:c>
    </x:row>
    <x:row r="764">
      <x:c r="A764" t="str">
        <x:v>PRD-JVS-0763</x:v>
      </x:c>
      <x:c r="B764" t="str">
        <x:v>JVS-0763</x:v>
      </x:c>
      <x:c r="C764" t="str">
        <x:v>Tiang Kran Bensin Vespa</x:v>
      </x:c>
      <x:c r="D764" t="str">
        <x:v>Aksesoris</x:v>
      </x:c>
      <x:c r="E764" t="str"/>
      <x:c r="F764" t="str"/>
      <x:c r="G764" s="12" t="n">
        <x:v>15</x:v>
      </x:c>
      <x:c r="H764" s="12" t="n">
        <x:v>15</x:v>
      </x:c>
      <x:c r="I764" s="12" t="n">
        <x:v>0</x:v>
      </x:c>
      <x:c r="J764" s="16" t="n">
        <x:v>0</x:v>
      </x:c>
      <x:c r="K764" s="14" t="n">
        <x:v>3</x:v>
      </x:c>
      <x:c r="L764" s="14" t="n">
        <x:v>1</x:v>
      </x:c>
      <x:c r="M764" t="str">
        <x:v>READY</x:v>
      </x:c>
      <x:c r="N764" t="str">
        <x:v>AKTIF</x:v>
      </x:c>
      <x:c r="O764" t="str"/>
      <x:c r="P764" t="str"/>
      <x:c r="Q764" t="str"/>
      <x:c r="R764" t="str"/>
      <x:c r="S764" t="str"/>
      <x:c r="T764" t="str"/>
      <x:c r="U764" s="18" t="n">
        <x:v>46134.041666666664</x:v>
      </x:c>
      <x:c r="V764" t="str">
        <x:v>INITIAL_IMPORT</x:v>
      </x:c>
    </x:row>
    <x:row r="765">
      <x:c r="A765" t="str">
        <x:v>PRD-JVS-0764</x:v>
      </x:c>
      <x:c r="B765" t="str">
        <x:v>JVS-0764</x:v>
      </x:c>
      <x:c r="C765" t="str">
        <x:v>Tool Tray Bagasi Vespa</x:v>
      </x:c>
      <x:c r="D765" t="str">
        <x:v>Body</x:v>
      </x:c>
      <x:c r="E765" t="str"/>
      <x:c r="F765" t="str"/>
      <x:c r="G765" s="12" t="n">
        <x:v>75</x:v>
      </x:c>
      <x:c r="H765" s="12" t="n">
        <x:v>75</x:v>
      </x:c>
      <x:c r="I765" s="12" t="n">
        <x:v>0</x:v>
      </x:c>
      <x:c r="J765" s="16" t="n">
        <x:v>0</x:v>
      </x:c>
      <x:c r="K765" s="14" t="n">
        <x:v>3</x:v>
      </x:c>
      <x:c r="L765" s="14" t="n">
        <x:v>1</x:v>
      </x:c>
      <x:c r="M765" t="str">
        <x:v>READY</x:v>
      </x:c>
      <x:c r="N765" t="str">
        <x:v>AKTIF</x:v>
      </x:c>
      <x:c r="O765" t="str"/>
      <x:c r="P765" t="str"/>
      <x:c r="Q765" t="str"/>
      <x:c r="R765" t="str"/>
      <x:c r="S765" t="str"/>
      <x:c r="T765" t="str"/>
      <x:c r="U765" s="18" t="n">
        <x:v>46134.041666666664</x:v>
      </x:c>
      <x:c r="V765" t="str">
        <x:v>INITIAL_IMPORT</x:v>
      </x:c>
    </x:row>
    <x:row r="766">
      <x:c r="A766" t="str">
        <x:v>PRD-JVS-0765</x:v>
      </x:c>
      <x:c r="B766" t="str">
        <x:v>JVS-0765</x:v>
      </x:c>
      <x:c r="C766" t="str">
        <x:v>Topi Per Kopling</x:v>
      </x:c>
      <x:c r="D766" t="str">
        <x:v>Mesin</x:v>
      </x:c>
      <x:c r="E766" t="str"/>
      <x:c r="F766" t="str"/>
      <x:c r="G766" s="12" t="n">
        <x:v>3</x:v>
      </x:c>
      <x:c r="H766" s="12" t="n">
        <x:v>3</x:v>
      </x:c>
      <x:c r="I766" s="12" t="n">
        <x:v>0</x:v>
      </x:c>
      <x:c r="J766" s="16" t="n">
        <x:v>0</x:v>
      </x:c>
      <x:c r="K766" s="14" t="n">
        <x:v>20</x:v>
      </x:c>
      <x:c r="L766" s="14" t="n">
        <x:v>1</x:v>
      </x:c>
      <x:c r="M766" t="str">
        <x:v>READY</x:v>
      </x:c>
      <x:c r="N766" t="str">
        <x:v>AKTIF</x:v>
      </x:c>
      <x:c r="O766" t="str"/>
      <x:c r="P766" t="str"/>
      <x:c r="Q766" t="str"/>
      <x:c r="R766" t="str"/>
      <x:c r="S766" t="str"/>
      <x:c r="T766" t="str"/>
      <x:c r="U766" s="18" t="n">
        <x:v>46134.041666666664</x:v>
      </x:c>
      <x:c r="V766" t="str">
        <x:v>INITIAL_IMPORT</x:v>
      </x:c>
    </x:row>
    <x:row r="767">
      <x:c r="A767" t="str">
        <x:v>PRD-JVS-0766</x:v>
      </x:c>
      <x:c r="B767" t="str">
        <x:v>JVS-0766</x:v>
      </x:c>
      <x:c r="C767" t="str">
        <x:v>Trapdor Penahan Dek Lantai Vespa Kiri Kanan Chrome</x:v>
      </x:c>
      <x:c r="D767" t="str">
        <x:v>Body</x:v>
      </x:c>
      <x:c r="E767" t="str"/>
      <x:c r="F767" t="str"/>
      <x:c r="G767" s="12" t="n">
        <x:v>45</x:v>
      </x:c>
      <x:c r="H767" s="12" t="n">
        <x:v>45</x:v>
      </x:c>
      <x:c r="I767" s="12" t="n">
        <x:v>0</x:v>
      </x:c>
      <x:c r="J767" s="16" t="n">
        <x:v>0</x:v>
      </x:c>
      <x:c r="K767" s="14" t="n">
        <x:v>1</x:v>
      </x:c>
      <x:c r="L767" s="14" t="n">
        <x:v>1</x:v>
      </x:c>
      <x:c r="M767" t="str">
        <x:v>LOW</x:v>
      </x:c>
      <x:c r="N767" t="str">
        <x:v>AKTIF</x:v>
      </x:c>
      <x:c r="O767" t="str"/>
      <x:c r="P767" t="str"/>
      <x:c r="Q767" t="str"/>
      <x:c r="R767" t="str"/>
      <x:c r="S767" t="str"/>
      <x:c r="T767" t="str"/>
      <x:c r="U767" s="18" t="n">
        <x:v>46134.041666666664</x:v>
      </x:c>
      <x:c r="V767" t="str">
        <x:v>INITIAL_IMPORT</x:v>
      </x:c>
    </x:row>
    <x:row r="768">
      <x:c r="A768" t="str">
        <x:v>PRD-JVS-0767</x:v>
      </x:c>
      <x:c r="B768" t="str">
        <x:v>JVS-0767</x:v>
      </x:c>
      <x:c r="C768" t="str">
        <x:v>Trapdor Penahan Dek Lantai Vespa Kiri Kanan Hitam</x:v>
      </x:c>
      <x:c r="D768" t="str">
        <x:v>Body</x:v>
      </x:c>
      <x:c r="E768" t="str"/>
      <x:c r="F768" t="str"/>
      <x:c r="G768" s="12" t="n">
        <x:v>45</x:v>
      </x:c>
      <x:c r="H768" s="12" t="n">
        <x:v>45</x:v>
      </x:c>
      <x:c r="I768" s="12" t="n">
        <x:v>0</x:v>
      </x:c>
      <x:c r="J768" s="16" t="n">
        <x:v>0</x:v>
      </x:c>
      <x:c r="K768" s="14" t="n">
        <x:v>1</x:v>
      </x:c>
      <x:c r="L768" s="14" t="n">
        <x:v>1</x:v>
      </x:c>
      <x:c r="M768" t="str">
        <x:v>LOW</x:v>
      </x:c>
      <x:c r="N768" t="str">
        <x:v>AKTIF</x:v>
      </x:c>
      <x:c r="O768" t="str"/>
      <x:c r="P768" t="str"/>
      <x:c r="Q768" t="str"/>
      <x:c r="R768" t="str"/>
      <x:c r="S768" t="str"/>
      <x:c r="T768" t="str"/>
      <x:c r="U768" s="18" t="n">
        <x:v>46134.041666666664</x:v>
      </x:c>
      <x:c r="V768" t="str">
        <x:v>INITIAL_IMPORT</x:v>
      </x:c>
    </x:row>
    <x:row r="769">
      <x:c r="A769" t="str">
        <x:v>PRD-JVS-0768</x:v>
      </x:c>
      <x:c r="B769" t="str">
        <x:v>JVS-0768</x:v>
      </x:c>
      <x:c r="C769" t="str">
        <x:v>Treker Magnet Vespa As Besar</x:v>
      </x:c>
      <x:c r="D769" t="str">
        <x:v>Mesin</x:v>
      </x:c>
      <x:c r="E769" t="str"/>
      <x:c r="F769" t="str"/>
      <x:c r="G769" s="12" t="n">
        <x:v>50</x:v>
      </x:c>
      <x:c r="H769" s="12" t="n">
        <x:v>50</x:v>
      </x:c>
      <x:c r="I769" s="12" t="n">
        <x:v>0</x:v>
      </x:c>
      <x:c r="J769" s="16" t="n">
        <x:v>0</x:v>
      </x:c>
      <x:c r="K769" s="14" t="n">
        <x:v>1</x:v>
      </x:c>
      <x:c r="L769" s="14" t="n">
        <x:v>1</x:v>
      </x:c>
      <x:c r="M769" t="str">
        <x:v>LOW</x:v>
      </x:c>
      <x:c r="N769" t="str">
        <x:v>AKTIF</x:v>
      </x:c>
      <x:c r="O769" t="str"/>
      <x:c r="P769" t="str"/>
      <x:c r="Q769" t="str"/>
      <x:c r="R769" t="str"/>
      <x:c r="S769" t="str"/>
      <x:c r="T769" t="str"/>
      <x:c r="U769" s="18" t="n">
        <x:v>46134.041666666664</x:v>
      </x:c>
      <x:c r="V769" t="str">
        <x:v>INITIAL_IMPORT</x:v>
      </x:c>
    </x:row>
    <x:row r="770">
      <x:c r="A770" t="str">
        <x:v>PRD-JVS-0769</x:v>
      </x:c>
      <x:c r="B770" t="str">
        <x:v>JVS-0769</x:v>
      </x:c>
      <x:c r="C770" t="str">
        <x:v>Tromol Belakang Excel seal 30 Motif Kembang</x:v>
      </x:c>
      <x:c r="D770" t="str">
        <x:v>Kaki-Kaki</x:v>
      </x:c>
      <x:c r="E770" t="str">
        <x:v>EXCEL</x:v>
      </x:c>
      <x:c r="F770" t="str"/>
      <x:c r="G770" s="12" t="n">
        <x:v>320</x:v>
      </x:c>
      <x:c r="H770" s="12" t="n">
        <x:v>320</x:v>
      </x:c>
      <x:c r="I770" s="12" t="n">
        <x:v>0</x:v>
      </x:c>
      <x:c r="J770" s="16" t="n">
        <x:v>0</x:v>
      </x:c>
      <x:c r="K770" s="14" t="n">
        <x:v>0</x:v>
      </x:c>
      <x:c r="L770" s="14" t="n">
        <x:v>1</x:v>
      </x:c>
      <x:c r="M770" t="str">
        <x:v>OUT OF STOCK</x:v>
      </x:c>
      <x:c r="N770" t="str">
        <x:v>AKTIF</x:v>
      </x:c>
      <x:c r="O770" t="str"/>
      <x:c r="P770" t="str"/>
      <x:c r="Q770" t="str"/>
      <x:c r="R770" t="str"/>
      <x:c r="S770" t="str"/>
      <x:c r="T770" t="str"/>
      <x:c r="U770" s="18" t="n">
        <x:v>46134.041666666664</x:v>
      </x:c>
      <x:c r="V770" t="str">
        <x:v>INITIAL_IMPORT</x:v>
      </x:c>
    </x:row>
    <x:row r="771">
      <x:c r="A771" t="str">
        <x:v>PRD-JVS-0770</x:v>
      </x:c>
      <x:c r="B771" t="str">
        <x:v>JVS-0770</x:v>
      </x:c>
      <x:c r="C771" t="str">
        <x:v>Tromol Belakang PX seal 27 Motif Kembang</x:v>
      </x:c>
      <x:c r="D771" t="str">
        <x:v>Kaki-Kaki</x:v>
      </x:c>
      <x:c r="E771" t="str">
        <x:v>PX</x:v>
      </x:c>
      <x:c r="F771" t="str"/>
      <x:c r="G771" s="12" t="n">
        <x:v>320</x:v>
      </x:c>
      <x:c r="H771" s="12" t="n">
        <x:v>320</x:v>
      </x:c>
      <x:c r="I771" s="12" t="n">
        <x:v>0</x:v>
      </x:c>
      <x:c r="J771" s="16" t="n">
        <x:v>0</x:v>
      </x:c>
      <x:c r="K771" s="14" t="n">
        <x:v>0</x:v>
      </x:c>
      <x:c r="L771" s="14" t="n">
        <x:v>1</x:v>
      </x:c>
      <x:c r="M771" t="str">
        <x:v>OUT OF STOCK</x:v>
      </x:c>
      <x:c r="N771" t="str">
        <x:v>AKTIF</x:v>
      </x:c>
      <x:c r="O771" t="str"/>
      <x:c r="P771" t="str"/>
      <x:c r="Q771" t="str"/>
      <x:c r="R771" t="str"/>
      <x:c r="S771" t="str"/>
      <x:c r="T771" t="str"/>
      <x:c r="U771" s="18" t="n">
        <x:v>46134.041666666664</x:v>
      </x:c>
      <x:c r="V771" t="str">
        <x:v>INITIAL_IMPORT</x:v>
      </x:c>
    </x:row>
    <x:row r="772">
      <x:c r="A772" t="str">
        <x:v>PRD-JVS-0771</x:v>
      </x:c>
      <x:c r="B772" t="str">
        <x:v>JVS-0771</x:v>
      </x:c>
      <x:c r="C772" t="str">
        <x:v>Tromol Belakang Ring 10 Excel Scarlet</x:v>
      </x:c>
      <x:c r="D772" t="str">
        <x:v>Kaki-Kaki</x:v>
      </x:c>
      <x:c r="E772" t="str">
        <x:v>EXCEL</x:v>
      </x:c>
      <x:c r="F772" t="str"/>
      <x:c r="G772" s="12" t="n">
        <x:v>330</x:v>
      </x:c>
      <x:c r="H772" s="12" t="n">
        <x:v>330</x:v>
      </x:c>
      <x:c r="I772" s="12" t="n">
        <x:v>0</x:v>
      </x:c>
      <x:c r="J772" s="16" t="n">
        <x:v>0</x:v>
      </x:c>
      <x:c r="K772" s="14" t="n">
        <x:v>0</x:v>
      </x:c>
      <x:c r="L772" s="14" t="n">
        <x:v>1</x:v>
      </x:c>
      <x:c r="M772" t="str">
        <x:v>OUT OF STOCK</x:v>
      </x:c>
      <x:c r="N772" t="str">
        <x:v>AKTIF</x:v>
      </x:c>
      <x:c r="O772" t="str"/>
      <x:c r="P772" t="str"/>
      <x:c r="Q772" t="str"/>
      <x:c r="R772" t="str"/>
      <x:c r="S772" t="str"/>
      <x:c r="T772" t="str"/>
      <x:c r="U772" s="18" t="n">
        <x:v>46134.041666666664</x:v>
      </x:c>
      <x:c r="V772" t="str">
        <x:v>INITIAL_IMPORT</x:v>
      </x:c>
    </x:row>
    <x:row r="773">
      <x:c r="A773" t="str">
        <x:v>PRD-JVS-0772</x:v>
      </x:c>
      <x:c r="B773" t="str">
        <x:v>JVS-0772</x:v>
      </x:c>
      <x:c r="C773" t="str">
        <x:v>Tromol Belakang Ring 10 PTS Scarlet</x:v>
      </x:c>
      <x:c r="D773" t="str">
        <x:v>Kaki-Kaki</x:v>
      </x:c>
      <x:c r="E773" t="str">
        <x:v>PTS</x:v>
      </x:c>
      <x:c r="F773" t="str"/>
      <x:c r="G773" s="12" t="n">
        <x:v>330</x:v>
      </x:c>
      <x:c r="H773" s="12" t="n">
        <x:v>330</x:v>
      </x:c>
      <x:c r="I773" s="12" t="n">
        <x:v>0</x:v>
      </x:c>
      <x:c r="J773" s="16" t="n">
        <x:v>0</x:v>
      </x:c>
      <x:c r="K773" s="14" t="n">
        <x:v>0</x:v>
      </x:c>
      <x:c r="L773" s="14" t="n">
        <x:v>1</x:v>
      </x:c>
      <x:c r="M773" t="str">
        <x:v>OUT OF STOCK</x:v>
      </x:c>
      <x:c r="N773" t="str">
        <x:v>AKTIF</x:v>
      </x:c>
      <x:c r="O773" t="str"/>
      <x:c r="P773" t="str"/>
      <x:c r="Q773" t="str"/>
      <x:c r="R773" t="str"/>
      <x:c r="S773" t="str"/>
      <x:c r="T773" t="str"/>
      <x:c r="U773" s="18" t="n">
        <x:v>46134.041666666664</x:v>
      </x:c>
      <x:c r="V773" t="str">
        <x:v>INITIAL_IMPORT</x:v>
      </x:c>
    </x:row>
    <x:row r="774">
      <x:c r="A774" t="str">
        <x:v>PRD-JVS-0773</x:v>
      </x:c>
      <x:c r="B774" t="str">
        <x:v>JVS-0773</x:v>
      </x:c>
      <x:c r="C774" t="str">
        <x:v>Tromol Belakang Ring 10 PX Sprint Scarlet</x:v>
      </x:c>
      <x:c r="D774" t="str">
        <x:v>Kaki-Kaki</x:v>
      </x:c>
      <x:c r="E774" t="str">
        <x:v>PX, SPRINT</x:v>
      </x:c>
      <x:c r="F774" t="str"/>
      <x:c r="G774" s="12" t="n">
        <x:v>330</x:v>
      </x:c>
      <x:c r="H774" s="12" t="n">
        <x:v>330</x:v>
      </x:c>
      <x:c r="I774" s="12" t="n">
        <x:v>0</x:v>
      </x:c>
      <x:c r="J774" s="16" t="n">
        <x:v>0</x:v>
      </x:c>
      <x:c r="K774" s="14" t="n">
        <x:v>0</x:v>
      </x:c>
      <x:c r="L774" s="14" t="n">
        <x:v>1</x:v>
      </x:c>
      <x:c r="M774" t="str">
        <x:v>OUT OF STOCK</x:v>
      </x:c>
      <x:c r="N774" t="str">
        <x:v>AKTIF</x:v>
      </x:c>
      <x:c r="O774" t="str"/>
      <x:c r="P774" t="str"/>
      <x:c r="Q774" t="str"/>
      <x:c r="R774" t="str"/>
      <x:c r="S774" t="str"/>
      <x:c r="T774" t="str"/>
      <x:c r="U774" s="18" t="n">
        <x:v>46134.041666666664</x:v>
      </x:c>
      <x:c r="V774" t="str">
        <x:v>INITIAL_IMPORT</x:v>
      </x:c>
    </x:row>
    <x:row r="775">
      <x:c r="A775" t="str">
        <x:v>PRD-JVS-0774</x:v>
      </x:c>
      <x:c r="B775" t="str">
        <x:v>JVS-0774</x:v>
      </x:c>
      <x:c r="C775" t="str">
        <x:v>Tromol Belakang Ring 8 Strada Vifo</x:v>
      </x:c>
      <x:c r="D775" t="str">
        <x:v>Kaki-Kaki</x:v>
      </x:c>
      <x:c r="E775" t="str">
        <x:v>STRADA</x:v>
      </x:c>
      <x:c r="F775" t="str"/>
      <x:c r="G775" s="12" t="n">
        <x:v>270</x:v>
      </x:c>
      <x:c r="H775" s="12" t="n">
        <x:v>270</x:v>
      </x:c>
      <x:c r="I775" s="12" t="n">
        <x:v>0</x:v>
      </x:c>
      <x:c r="J775" s="16" t="n">
        <x:v>0</x:v>
      </x:c>
      <x:c r="K775" s="14" t="n">
        <x:v>1</x:v>
      </x:c>
      <x:c r="L775" s="14" t="n">
        <x:v>1</x:v>
      </x:c>
      <x:c r="M775" t="str">
        <x:v>LOW</x:v>
      </x:c>
      <x:c r="N775" t="str">
        <x:v>AKTIF</x:v>
      </x:c>
      <x:c r="O775" t="str"/>
      <x:c r="P775" t="str"/>
      <x:c r="Q775" t="str"/>
      <x:c r="R775" t="str"/>
      <x:c r="S775" t="str"/>
      <x:c r="T775" t="str"/>
      <x:c r="U775" s="18" t="n">
        <x:v>46134.041666666664</x:v>
      </x:c>
      <x:c r="V775" t="str">
        <x:v>INITIAL_IMPORT</x:v>
      </x:c>
    </x:row>
    <x:row r="776">
      <x:c r="A776" t="str">
        <x:v>PRD-JVS-0775</x:v>
      </x:c>
      <x:c r="B776" t="str">
        <x:v>JVS-0775</x:v>
      </x:c>
      <x:c r="C776" t="str">
        <x:v>Tromol Depan Ring 10 Excel Scarlet</x:v>
      </x:c>
      <x:c r="D776" t="str">
        <x:v>Kaki-Kaki</x:v>
      </x:c>
      <x:c r="E776" t="str">
        <x:v>EXCEL</x:v>
      </x:c>
      <x:c r="F776" t="str"/>
      <x:c r="G776" s="12" t="n">
        <x:v>330</x:v>
      </x:c>
      <x:c r="H776" s="12" t="n">
        <x:v>330</x:v>
      </x:c>
      <x:c r="I776" s="12" t="n">
        <x:v>0</x:v>
      </x:c>
      <x:c r="J776" s="16" t="n">
        <x:v>0</x:v>
      </x:c>
      <x:c r="K776" s="14" t="n">
        <x:v>0</x:v>
      </x:c>
      <x:c r="L776" s="14" t="n">
        <x:v>1</x:v>
      </x:c>
      <x:c r="M776" t="str">
        <x:v>OUT OF STOCK</x:v>
      </x:c>
      <x:c r="N776" t="str">
        <x:v>AKTIF</x:v>
      </x:c>
      <x:c r="O776" t="str"/>
      <x:c r="P776" t="str"/>
      <x:c r="Q776" t="str"/>
      <x:c r="R776" t="str"/>
      <x:c r="S776" t="str"/>
      <x:c r="T776" t="str"/>
      <x:c r="U776" s="18" t="n">
        <x:v>46134.041666666664</x:v>
      </x:c>
      <x:c r="V776" t="str">
        <x:v>INITIAL_IMPORT</x:v>
      </x:c>
    </x:row>
    <x:row r="777">
      <x:c r="A777" t="str">
        <x:v>PRD-JVS-0776</x:v>
      </x:c>
      <x:c r="B777" t="str">
        <x:v>JVS-0776</x:v>
      </x:c>
      <x:c r="C777" t="str">
        <x:v>Tromol Depan Ring 10 PX Scarlet</x:v>
      </x:c>
      <x:c r="D777" t="str">
        <x:v>Kaki-Kaki</x:v>
      </x:c>
      <x:c r="E777" t="str">
        <x:v>PX</x:v>
      </x:c>
      <x:c r="F777" t="str"/>
      <x:c r="G777" s="12" t="n">
        <x:v>330</x:v>
      </x:c>
      <x:c r="H777" s="12" t="n">
        <x:v>330</x:v>
      </x:c>
      <x:c r="I777" s="12" t="n">
        <x:v>0</x:v>
      </x:c>
      <x:c r="J777" s="16" t="n">
        <x:v>0</x:v>
      </x:c>
      <x:c r="K777" s="14" t="n">
        <x:v>0</x:v>
      </x:c>
      <x:c r="L777" s="14" t="n">
        <x:v>1</x:v>
      </x:c>
      <x:c r="M777" t="str">
        <x:v>OUT OF STOCK</x:v>
      </x:c>
      <x:c r="N777" t="str">
        <x:v>AKTIF</x:v>
      </x:c>
      <x:c r="O777" t="str"/>
      <x:c r="P777" t="str"/>
      <x:c r="Q777" t="str"/>
      <x:c r="R777" t="str"/>
      <x:c r="S777" t="str"/>
      <x:c r="T777" t="str"/>
      <x:c r="U777" s="18" t="n">
        <x:v>46134.041666666664</x:v>
      </x:c>
      <x:c r="V777" t="str">
        <x:v>INITIAL_IMPORT</x:v>
      </x:c>
    </x:row>
    <x:row r="778">
      <x:c r="A778" t="str">
        <x:v>PRD-JVS-0777</x:v>
      </x:c>
      <x:c r="B778" t="str">
        <x:v>JVS-0777</x:v>
      </x:c>
      <x:c r="C778" t="str">
        <x:v>Tromol Depan Ring 10 Sprint Scarlet</x:v>
      </x:c>
      <x:c r="D778" t="str">
        <x:v>Kaki-Kaki</x:v>
      </x:c>
      <x:c r="E778" t="str">
        <x:v>SPRINT</x:v>
      </x:c>
      <x:c r="F778" t="str"/>
      <x:c r="G778" s="12" t="n">
        <x:v>330</x:v>
      </x:c>
      <x:c r="H778" s="12" t="n">
        <x:v>330</x:v>
      </x:c>
      <x:c r="I778" s="12" t="n">
        <x:v>0</x:v>
      </x:c>
      <x:c r="J778" s="16" t="n">
        <x:v>0</x:v>
      </x:c>
      <x:c r="K778" s="14" t="n">
        <x:v>1</x:v>
      </x:c>
      <x:c r="L778" s="14" t="n">
        <x:v>1</x:v>
      </x:c>
      <x:c r="M778" t="str">
        <x:v>LOW</x:v>
      </x:c>
      <x:c r="N778" t="str">
        <x:v>AKTIF</x:v>
      </x:c>
      <x:c r="O778" t="str"/>
      <x:c r="P778" t="str"/>
      <x:c r="Q778" t="str"/>
      <x:c r="R778" t="str"/>
      <x:c r="S778" t="str"/>
      <x:c r="T778" t="str"/>
      <x:c r="U778" s="18" t="n">
        <x:v>46134.041666666664</x:v>
      </x:c>
      <x:c r="V778" t="str">
        <x:v>INITIAL_IMPORT</x:v>
      </x:c>
    </x:row>
    <x:row r="779">
      <x:c r="A779" t="str">
        <x:v>PRD-JVS-0778</x:v>
      </x:c>
      <x:c r="B779" t="str">
        <x:v>JVS-0778</x:v>
      </x:c>
      <x:c r="C779" t="str">
        <x:v>Tromol Depan Sprint Taiwan</x:v>
      </x:c>
      <x:c r="D779" t="str">
        <x:v>Kaki-Kaki</x:v>
      </x:c>
      <x:c r="E779" t="str">
        <x:v>SPRINT</x:v>
      </x:c>
      <x:c r="F779" t="str"/>
      <x:c r="G779" s="12" t="n">
        <x:v>330</x:v>
      </x:c>
      <x:c r="H779" s="12" t="n">
        <x:v>330</x:v>
      </x:c>
      <x:c r="I779" s="12" t="n">
        <x:v>0</x:v>
      </x:c>
      <x:c r="J779" s="16" t="n">
        <x:v>0</x:v>
      </x:c>
      <x:c r="K779" s="14" t="n">
        <x:v>0</x:v>
      </x:c>
      <x:c r="L779" s="14" t="n">
        <x:v>1</x:v>
      </x:c>
      <x:c r="M779" t="str">
        <x:v>OUT OF STOCK</x:v>
      </x:c>
      <x:c r="N779" t="str">
        <x:v>AKTIF</x:v>
      </x:c>
      <x:c r="O779" t="str"/>
      <x:c r="P779" t="str"/>
      <x:c r="Q779" t="str"/>
      <x:c r="R779" t="str"/>
      <x:c r="S779" t="str"/>
      <x:c r="T779" t="str"/>
      <x:c r="U779" s="18" t="n">
        <x:v>46134.041666666664</x:v>
      </x:c>
      <x:c r="V779" t="str">
        <x:v>INITIAL_IMPORT</x:v>
      </x:c>
    </x:row>
    <x:row r="780">
      <x:c r="A780" t="str">
        <x:v>PRD-JVS-0779</x:v>
      </x:c>
      <x:c r="B780" t="str">
        <x:v>JVS-0779</x:v>
      </x:c>
      <x:c r="C780" t="str">
        <x:v>Tuas Kunci Bagasi Laci VBB Mamanukan</x:v>
      </x:c>
      <x:c r="D780" t="str">
        <x:v>Aksesoris</x:v>
      </x:c>
      <x:c r="E780" t="str">
        <x:v>VBB</x:v>
      </x:c>
      <x:c r="F780" t="str"/>
      <x:c r="G780" s="12" t="n">
        <x:v>18</x:v>
      </x:c>
      <x:c r="H780" s="12" t="n">
        <x:v>18</x:v>
      </x:c>
      <x:c r="I780" s="12" t="n">
        <x:v>0</x:v>
      </x:c>
      <x:c r="J780" s="16" t="n">
        <x:v>0</x:v>
      </x:c>
      <x:c r="K780" s="14" t="n">
        <x:v>4</x:v>
      </x:c>
      <x:c r="L780" s="14" t="n">
        <x:v>1</x:v>
      </x:c>
      <x:c r="M780" t="str">
        <x:v>READY</x:v>
      </x:c>
      <x:c r="N780" t="str">
        <x:v>AKTIF</x:v>
      </x:c>
      <x:c r="O780" t="str"/>
      <x:c r="P780" t="str"/>
      <x:c r="Q780" t="str"/>
      <x:c r="R780" t="str"/>
      <x:c r="S780" t="str"/>
      <x:c r="T780" t="str"/>
      <x:c r="U780" s="18" t="n">
        <x:v>46134.041666666664</x:v>
      </x:c>
      <x:c r="V780" t="str">
        <x:v>INITIAL_IMPORT</x:v>
      </x:c>
    </x:row>
    <x:row r="781">
      <x:c r="A781" t="str">
        <x:v>PRD-JVS-0780</x:v>
      </x:c>
      <x:c r="B781" t="str">
        <x:v>JVS-0780</x:v>
      </x:c>
      <x:c r="C781" t="str">
        <x:v>Tuas Tarikan Choke Vespa PTS</x:v>
      </x:c>
      <x:c r="D781" t="str">
        <x:v>Aksesoris</x:v>
      </x:c>
      <x:c r="E781" t="str">
        <x:v>PTS</x:v>
      </x:c>
      <x:c r="F781" t="str"/>
      <x:c r="G781" s="12" t="n">
        <x:v>25</x:v>
      </x:c>
      <x:c r="H781" s="12" t="n">
        <x:v>25</x:v>
      </x:c>
      <x:c r="I781" s="12" t="n">
        <x:v>0</x:v>
      </x:c>
      <x:c r="J781" s="16" t="n">
        <x:v>0</x:v>
      </x:c>
      <x:c r="K781" s="14" t="n">
        <x:v>9</x:v>
      </x:c>
      <x:c r="L781" s="14" t="n">
        <x:v>1</x:v>
      </x:c>
      <x:c r="M781" t="str">
        <x:v>READY</x:v>
      </x:c>
      <x:c r="N781" t="str">
        <x:v>AKTIF</x:v>
      </x:c>
      <x:c r="O781" t="str"/>
      <x:c r="P781" t="str"/>
      <x:c r="Q781" t="str"/>
      <x:c r="R781" t="str"/>
      <x:c r="S781" t="str"/>
      <x:c r="T781" t="str"/>
      <x:c r="U781" s="18" t="n">
        <x:v>46134.041666666664</x:v>
      </x:c>
      <x:c r="V781" t="str">
        <x:v>INITIAL_IMPORT</x:v>
      </x:c>
    </x:row>
    <x:row r="782">
      <x:c r="A782" t="str">
        <x:v>PRD-JVS-0781</x:v>
      </x:c>
      <x:c r="B782" t="str">
        <x:v>JVS-0781</x:v>
      </x:c>
      <x:c r="C782" t="str">
        <x:v>Tuas Tarikan Choke Vespa Super Excel</x:v>
      </x:c>
      <x:c r="D782" t="str">
        <x:v>Servis</x:v>
      </x:c>
      <x:c r="E782" t="str">
        <x:v>EXCEL, SUPER</x:v>
      </x:c>
      <x:c r="F782" t="str"/>
      <x:c r="G782" s="12" t="n">
        <x:v>22</x:v>
      </x:c>
      <x:c r="H782" s="12" t="n">
        <x:v>22</x:v>
      </x:c>
      <x:c r="I782" s="12" t="n">
        <x:v>0</x:v>
      </x:c>
      <x:c r="J782" s="16" t="n">
        <x:v>0</x:v>
      </x:c>
      <x:c r="K782" s="14" t="n">
        <x:v>4</x:v>
      </x:c>
      <x:c r="L782" s="14" t="n">
        <x:v>1</x:v>
      </x:c>
      <x:c r="M782" t="str">
        <x:v>READY</x:v>
      </x:c>
      <x:c r="N782" t="str">
        <x:v>AKTIF</x:v>
      </x:c>
      <x:c r="O782" t="str"/>
      <x:c r="P782" t="str"/>
      <x:c r="Q782" t="str"/>
      <x:c r="R782" t="str"/>
      <x:c r="S782" t="str"/>
      <x:c r="T782" t="str"/>
      <x:c r="U782" s="18" t="n">
        <x:v>46134.041666666664</x:v>
      </x:c>
      <x:c r="V782" t="str">
        <x:v>INITIAL_IMPORT</x:v>
      </x:c>
    </x:row>
    <x:row r="783">
      <x:c r="A783" t="str">
        <x:v>PRD-JVS-0782</x:v>
      </x:c>
      <x:c r="B783" t="str">
        <x:v>JVS-0782</x:v>
      </x:c>
      <x:c r="C783" t="str">
        <x:v>Tusuk Konde pasak bagasi vespa bagian tepong Panjang</x:v>
      </x:c>
      <x:c r="D783" t="str">
        <x:v>Body</x:v>
      </x:c>
      <x:c r="E783" t="str"/>
      <x:c r="F783" t="str"/>
      <x:c r="G783" s="12" t="n">
        <x:v>5</x:v>
      </x:c>
      <x:c r="H783" s="12" t="n">
        <x:v>5</x:v>
      </x:c>
      <x:c r="I783" s="12" t="n">
        <x:v>0</x:v>
      </x:c>
      <x:c r="J783" s="16" t="n">
        <x:v>0</x:v>
      </x:c>
      <x:c r="K783" s="14" t="n">
        <x:v>8</x:v>
      </x:c>
      <x:c r="L783" s="14" t="n">
        <x:v>1</x:v>
      </x:c>
      <x:c r="M783" t="str">
        <x:v>READY</x:v>
      </x:c>
      <x:c r="N783" t="str">
        <x:v>AKTIF</x:v>
      </x:c>
      <x:c r="O783" t="str"/>
      <x:c r="P783" t="str"/>
      <x:c r="Q783" t="str"/>
      <x:c r="R783" t="str"/>
      <x:c r="S783" t="str"/>
      <x:c r="T783" t="str"/>
      <x:c r="U783" s="18" t="n">
        <x:v>46134.041666666664</x:v>
      </x:c>
      <x:c r="V783" t="str">
        <x:v>INITIAL_IMPORT</x:v>
      </x:c>
    </x:row>
    <x:row r="784">
      <x:c r="A784" t="str">
        <x:v>PRD-JVS-0783</x:v>
      </x:c>
      <x:c r="B784" t="str">
        <x:v>JVS-0783</x:v>
      </x:c>
      <x:c r="C784" t="str">
        <x:v>Tusuk Konde Pasak Mur Roda Vespa</x:v>
      </x:c>
      <x:c r="D784" t="str">
        <x:v>Kaki-Kaki</x:v>
      </x:c>
      <x:c r="E784" t="str"/>
      <x:c r="F784" t="str"/>
      <x:c r="G784" s="12" t="n">
        <x:v>3</x:v>
      </x:c>
      <x:c r="H784" s="12" t="n">
        <x:v>3</x:v>
      </x:c>
      <x:c r="I784" s="12" t="n">
        <x:v>0</x:v>
      </x:c>
      <x:c r="J784" s="16" t="n">
        <x:v>0</x:v>
      </x:c>
      <x:c r="K784" s="14" t="n">
        <x:v>10</x:v>
      </x:c>
      <x:c r="L784" s="14" t="n">
        <x:v>1</x:v>
      </x:c>
      <x:c r="M784" t="str">
        <x:v>READY</x:v>
      </x:c>
      <x:c r="N784" t="str">
        <x:v>AKTIF</x:v>
      </x:c>
      <x:c r="O784" t="str"/>
      <x:c r="P784" t="str"/>
      <x:c r="Q784" t="str"/>
      <x:c r="R784" t="str"/>
      <x:c r="S784" t="str"/>
      <x:c r="T784" t="str"/>
      <x:c r="U784" s="18" t="n">
        <x:v>46134.041666666664</x:v>
      </x:c>
      <x:c r="V784" t="str">
        <x:v>INITIAL_IMPORT</x:v>
      </x:c>
    </x:row>
    <x:row r="785">
      <x:c r="A785" t="str">
        <x:v>PRD-JVS-0784</x:v>
      </x:c>
      <x:c r="B785" t="str">
        <x:v>JVS-0784</x:v>
      </x:c>
      <x:c r="C785" t="str">
        <x:v>Tutup Bak Perseneling Model Vespa Excel PX</x:v>
      </x:c>
      <x:c r="D785" t="str">
        <x:v>Servis</x:v>
      </x:c>
      <x:c r="E785" t="str">
        <x:v>EXCEL, PX</x:v>
      </x:c>
      <x:c r="F785" t="str"/>
      <x:c r="G785" s="12" t="n">
        <x:v>17</x:v>
      </x:c>
      <x:c r="H785" s="12" t="n">
        <x:v>17</x:v>
      </x:c>
      <x:c r="I785" s="12" t="n">
        <x:v>0</x:v>
      </x:c>
      <x:c r="J785" s="16" t="n">
        <x:v>0</x:v>
      </x:c>
      <x:c r="K785" s="14" t="n">
        <x:v>6</x:v>
      </x:c>
      <x:c r="L785" s="14" t="n">
        <x:v>1</x:v>
      </x:c>
      <x:c r="M785" t="str">
        <x:v>READY</x:v>
      </x:c>
      <x:c r="N785" t="str">
        <x:v>AKTIF</x:v>
      </x:c>
      <x:c r="O785" t="str"/>
      <x:c r="P785" t="str"/>
      <x:c r="Q785" t="str"/>
      <x:c r="R785" t="str"/>
      <x:c r="S785" t="str"/>
      <x:c r="T785" t="str"/>
      <x:c r="U785" s="18" t="n">
        <x:v>46134.041666666664</x:v>
      </x:c>
      <x:c r="V785" t="str">
        <x:v>INITIAL_IMPORT</x:v>
      </x:c>
    </x:row>
    <x:row r="786">
      <x:c r="A786" t="str">
        <x:v>PRD-JVS-0785</x:v>
      </x:c>
      <x:c r="B786" t="str">
        <x:v>JVS-0785</x:v>
      </x:c>
      <x:c r="C786" t="str">
        <x:v>Tutup Ban Serep Vespa Exclusive PX Excel Merk Danmotor</x:v>
      </x:c>
      <x:c r="D786" t="str">
        <x:v>Kaki-Kaki</x:v>
      </x:c>
      <x:c r="E786" t="str">
        <x:v>EXCEL, EXCLUSIVE, PX</x:v>
      </x:c>
      <x:c r="F786" t="str"/>
      <x:c r="G786" s="12" t="n">
        <x:v>55</x:v>
      </x:c>
      <x:c r="H786" s="12" t="n">
        <x:v>55</x:v>
      </x:c>
      <x:c r="I786" s="12" t="n">
        <x:v>0</x:v>
      </x:c>
      <x:c r="J786" s="16" t="n">
        <x:v>0</x:v>
      </x:c>
      <x:c r="K786" s="14" t="n">
        <x:v>2</x:v>
      </x:c>
      <x:c r="L786" s="14" t="n">
        <x:v>1</x:v>
      </x:c>
      <x:c r="M786" t="str">
        <x:v>READY</x:v>
      </x:c>
      <x:c r="N786" t="str">
        <x:v>AKTIF</x:v>
      </x:c>
      <x:c r="O786" t="str"/>
      <x:c r="P786" t="str"/>
      <x:c r="Q786" t="str"/>
      <x:c r="R786" t="str"/>
      <x:c r="S786" t="str"/>
      <x:c r="T786" t="str"/>
      <x:c r="U786" s="18" t="n">
        <x:v>46134.041666666664</x:v>
      </x:c>
      <x:c r="V786" t="str">
        <x:v>INITIAL_IMPORT</x:v>
      </x:c>
    </x:row>
    <x:row r="787">
      <x:c r="A787" t="str">
        <x:v>PRD-JVS-0786</x:v>
      </x:c>
      <x:c r="B787" t="str">
        <x:v>JVS-0786</x:v>
      </x:c>
      <x:c r="C787" t="str">
        <x:v>Tutup Blok Merk Biasa</x:v>
      </x:c>
      <x:c r="D787" t="str">
        <x:v>Mesin</x:v>
      </x:c>
      <x:c r="E787" t="str"/>
      <x:c r="F787" t="str"/>
      <x:c r="G787" s="12" t="str"/>
      <x:c r="H787" s="12" t="str"/>
      <x:c r="I787" s="12" t="str"/>
      <x:c r="J787" s="16" t="str"/>
      <x:c r="K787" s="14" t="n">
        <x:v>1</x:v>
      </x:c>
      <x:c r="L787" s="14" t="n">
        <x:v>1</x:v>
      </x:c>
      <x:c r="M787" t="str">
        <x:v>LOW</x:v>
      </x:c>
      <x:c r="N787" t="str">
        <x:v>AKTIF</x:v>
      </x:c>
      <x:c r="O787" t="str"/>
      <x:c r="P787" t="str"/>
      <x:c r="Q787" t="str"/>
      <x:c r="R787" t="str"/>
      <x:c r="S787" t="str"/>
      <x:c r="T787" t="str"/>
      <x:c r="U787" s="18" t="n">
        <x:v>46134.041666666664</x:v>
      </x:c>
      <x:c r="V787" t="str">
        <x:v>INITIAL_IMPORT</x:v>
      </x:c>
    </x:row>
    <x:row r="788">
      <x:c r="A788" t="str">
        <x:v>PRD-JVS-0787</x:v>
      </x:c>
      <x:c r="B788" t="str">
        <x:v>JVS-0787</x:v>
      </x:c>
      <x:c r="C788" t="str">
        <x:v>Tutup Blok Merk Danmotor</x:v>
      </x:c>
      <x:c r="D788" t="str">
        <x:v>Mesin</x:v>
      </x:c>
      <x:c r="E788" t="str"/>
      <x:c r="F788" t="str"/>
      <x:c r="G788" s="12" t="n">
        <x:v>95</x:v>
      </x:c>
      <x:c r="H788" s="12" t="n">
        <x:v>95</x:v>
      </x:c>
      <x:c r="I788" s="12" t="n">
        <x:v>0</x:v>
      </x:c>
      <x:c r="J788" s="16" t="n">
        <x:v>0</x:v>
      </x:c>
      <x:c r="K788" s="14" t="n">
        <x:v>2</x:v>
      </x:c>
      <x:c r="L788" s="14" t="n">
        <x:v>1</x:v>
      </x:c>
      <x:c r="M788" t="str">
        <x:v>READY</x:v>
      </x:c>
      <x:c r="N788" t="str">
        <x:v>AKTIF</x:v>
      </x:c>
      <x:c r="O788" t="str"/>
      <x:c r="P788" t="str"/>
      <x:c r="Q788" t="str"/>
      <x:c r="R788" t="str"/>
      <x:c r="S788" t="str"/>
      <x:c r="T788" t="str"/>
      <x:c r="U788" s="18" t="n">
        <x:v>46134.041666666664</x:v>
      </x:c>
      <x:c r="V788" t="str">
        <x:v>INITIAL_IMPORT</x:v>
      </x:c>
    </x:row>
    <x:row r="789">
      <x:c r="A789" t="str">
        <x:v>PRD-JVS-0788</x:v>
      </x:c>
      <x:c r="B789" t="str">
        <x:v>JVS-0788</x:v>
      </x:c>
      <x:c r="C789" t="str">
        <x:v>Tutup Cover Bawah Mesin Vespa Excel Danmotor</x:v>
      </x:c>
      <x:c r="D789" t="str">
        <x:v>Body</x:v>
      </x:c>
      <x:c r="E789" t="str">
        <x:v>EXCEL</x:v>
      </x:c>
      <x:c r="F789" t="str"/>
      <x:c r="G789" s="12" t="n">
        <x:v>68</x:v>
      </x:c>
      <x:c r="H789" s="12" t="n">
        <x:v>68</x:v>
      </x:c>
      <x:c r="I789" s="12" t="n">
        <x:v>0</x:v>
      </x:c>
      <x:c r="J789" s="16" t="n">
        <x:v>0</x:v>
      </x:c>
      <x:c r="K789" s="14" t="n">
        <x:v>0</x:v>
      </x:c>
      <x:c r="L789" s="14" t="n">
        <x:v>1</x:v>
      </x:c>
      <x:c r="M789" t="str">
        <x:v>OUT OF STOCK</x:v>
      </x:c>
      <x:c r="N789" t="str">
        <x:v>AKTIF</x:v>
      </x:c>
      <x:c r="O789" t="str"/>
      <x:c r="P789" t="str"/>
      <x:c r="Q789" t="str"/>
      <x:c r="R789" t="str"/>
      <x:c r="S789" t="str"/>
      <x:c r="T789" t="str"/>
      <x:c r="U789" s="18" t="n">
        <x:v>46134.041666666664</x:v>
      </x:c>
      <x:c r="V789" t="str">
        <x:v>INITIAL_IMPORT</x:v>
      </x:c>
    </x:row>
    <x:row r="790">
      <x:c r="A790" t="str">
        <x:v>PRD-JVS-0789</x:v>
      </x:c>
      <x:c r="B790" t="str">
        <x:v>JVS-0789</x:v>
      </x:c>
      <x:c r="C790" t="str">
        <x:v>Tutup Debu Kampas Rem Tromol Belakang Vespa Ring 10</x:v>
      </x:c>
      <x:c r="D790" t="str">
        <x:v>Kaki-Kaki</x:v>
      </x:c>
      <x:c r="E790" t="str"/>
      <x:c r="F790" t="str"/>
      <x:c r="G790" s="12" t="n">
        <x:v>28</x:v>
      </x:c>
      <x:c r="H790" s="12" t="n">
        <x:v>28</x:v>
      </x:c>
      <x:c r="I790" s="12" t="n">
        <x:v>0</x:v>
      </x:c>
      <x:c r="J790" s="16" t="n">
        <x:v>0</x:v>
      </x:c>
      <x:c r="K790" s="14" t="n">
        <x:v>3</x:v>
      </x:c>
      <x:c r="L790" s="14" t="n">
        <x:v>1</x:v>
      </x:c>
      <x:c r="M790" t="str">
        <x:v>READY</x:v>
      </x:c>
      <x:c r="N790" t="str">
        <x:v>AKTIF</x:v>
      </x:c>
      <x:c r="O790" t="str"/>
      <x:c r="P790" t="str"/>
      <x:c r="Q790" t="str"/>
      <x:c r="R790" t="str"/>
      <x:c r="S790" t="str"/>
      <x:c r="T790" t="str"/>
      <x:c r="U790" s="18" t="n">
        <x:v>46134.041666666664</x:v>
      </x:c>
      <x:c r="V790" t="str">
        <x:v>INITIAL_IMPORT</x:v>
      </x:c>
    </x:row>
    <x:row r="791">
      <x:c r="A791" t="str">
        <x:v>PRD-JVS-0790</x:v>
      </x:c>
      <x:c r="B791" t="str">
        <x:v>JVS-0790</x:v>
      </x:c>
      <x:c r="C791" t="str">
        <x:v>Tutup Debu Kampas Rem Tromol Belakang Vespa Sprint, Super, PS Ring 8</x:v>
      </x:c>
      <x:c r="D791" t="str">
        <x:v>Kaki-Kaki</x:v>
      </x:c>
      <x:c r="E791" t="str">
        <x:v>SUPER, SPRINT, PS</x:v>
      </x:c>
      <x:c r="F791" t="str"/>
      <x:c r="G791" s="12" t="n">
        <x:v>25</x:v>
      </x:c>
      <x:c r="H791" s="12" t="n">
        <x:v>25</x:v>
      </x:c>
      <x:c r="I791" s="12" t="n">
        <x:v>0</x:v>
      </x:c>
      <x:c r="J791" s="16" t="n">
        <x:v>0</x:v>
      </x:c>
      <x:c r="K791" s="14" t="n">
        <x:v>3</x:v>
      </x:c>
      <x:c r="L791" s="14" t="n">
        <x:v>1</x:v>
      </x:c>
      <x:c r="M791" t="str">
        <x:v>READY</x:v>
      </x:c>
      <x:c r="N791" t="str">
        <x:v>AKTIF</x:v>
      </x:c>
      <x:c r="O791" t="str"/>
      <x:c r="P791" t="str"/>
      <x:c r="Q791" t="str"/>
      <x:c r="R791" t="str"/>
      <x:c r="S791" t="str"/>
      <x:c r="T791" t="str"/>
      <x:c r="U791" s="18" t="n">
        <x:v>46134.041666666664</x:v>
      </x:c>
      <x:c r="V791" t="str">
        <x:v>INITIAL_IMPORT</x:v>
      </x:c>
    </x:row>
    <x:row r="792">
      <x:c r="A792" t="str">
        <x:v>PRD-JVS-0791</x:v>
      </x:c>
      <x:c r="B792" t="str">
        <x:v>JVS-0791</x:v>
      </x:c>
      <x:c r="C792" t="str">
        <x:v>Tutup Debu Kampas Rem Tromol Depan Vespa Ring 10</x:v>
      </x:c>
      <x:c r="D792" t="str">
        <x:v>Kaki-Kaki</x:v>
      </x:c>
      <x:c r="E792" t="str"/>
      <x:c r="F792" t="str"/>
      <x:c r="G792" s="12" t="n">
        <x:v>25</x:v>
      </x:c>
      <x:c r="H792" s="12" t="n">
        <x:v>25</x:v>
      </x:c>
      <x:c r="I792" s="12" t="n">
        <x:v>0</x:v>
      </x:c>
      <x:c r="J792" s="16" t="n">
        <x:v>0</x:v>
      </x:c>
      <x:c r="K792" s="14" t="n">
        <x:v>2</x:v>
      </x:c>
      <x:c r="L792" s="14" t="n">
        <x:v>1</x:v>
      </x:c>
      <x:c r="M792" t="str">
        <x:v>READY</x:v>
      </x:c>
      <x:c r="N792" t="str">
        <x:v>AKTIF</x:v>
      </x:c>
      <x:c r="O792" t="str"/>
      <x:c r="P792" t="str"/>
      <x:c r="Q792" t="str"/>
      <x:c r="R792" t="str"/>
      <x:c r="S792" t="str"/>
      <x:c r="T792" t="str"/>
      <x:c r="U792" s="18" t="n">
        <x:v>46134.041666666664</x:v>
      </x:c>
      <x:c r="V792" t="str">
        <x:v>INITIAL_IMPORT</x:v>
      </x:c>
    </x:row>
    <x:row r="793">
      <x:c r="A793" t="str">
        <x:v>PRD-JVS-0792</x:v>
      </x:c>
      <x:c r="B793" t="str">
        <x:v>JVS-0792</x:v>
      </x:c>
      <x:c r="C793" t="str">
        <x:v>Tutup Dop Mur Roda 22 Bulat Almunium</x:v>
      </x:c>
      <x:c r="D793" t="str">
        <x:v>Kaki-Kaki</x:v>
      </x:c>
      <x:c r="E793" t="str"/>
      <x:c r="F793" t="str"/>
      <x:c r="G793" s="12" t="str"/>
      <x:c r="H793" s="12" t="str"/>
      <x:c r="I793" s="12" t="str"/>
      <x:c r="J793" s="16" t="str"/>
      <x:c r="K793" s="14" t="n">
        <x:v>6</x:v>
      </x:c>
      <x:c r="L793" s="14" t="n">
        <x:v>1</x:v>
      </x:c>
      <x:c r="M793" t="str">
        <x:v>READY</x:v>
      </x:c>
      <x:c r="N793" t="str">
        <x:v>AKTIF</x:v>
      </x:c>
      <x:c r="O793" t="str"/>
      <x:c r="P793" t="str"/>
      <x:c r="Q793" t="str"/>
      <x:c r="R793" t="str"/>
      <x:c r="S793" t="str"/>
      <x:c r="T793" t="str"/>
      <x:c r="U793" s="18" t="n">
        <x:v>46134.041666666664</x:v>
      </x:c>
      <x:c r="V793" t="str">
        <x:v>INITIAL_IMPORT</x:v>
      </x:c>
    </x:row>
    <x:row r="794">
      <x:c r="A794" t="str">
        <x:v>PRD-JVS-0793</x:v>
      </x:c>
      <x:c r="B794" t="str">
        <x:v>JVS-0793</x:v>
      </x:c>
      <x:c r="C794" t="str">
        <x:v>Tutup Dop Mur Roda 24 Bulat Danmotor</x:v>
      </x:c>
      <x:c r="D794" t="str">
        <x:v>Kaki-Kaki</x:v>
      </x:c>
      <x:c r="E794" t="str"/>
      <x:c r="F794" t="str"/>
      <x:c r="G794" s="12" t="n">
        <x:v>12</x:v>
      </x:c>
      <x:c r="H794" s="12" t="n">
        <x:v>12</x:v>
      </x:c>
      <x:c r="I794" s="12" t="n">
        <x:v>0</x:v>
      </x:c>
      <x:c r="J794" s="16" t="n">
        <x:v>0</x:v>
      </x:c>
      <x:c r="K794" s="14" t="n">
        <x:v>9</x:v>
      </x:c>
      <x:c r="L794" s="14" t="n">
        <x:v>1</x:v>
      </x:c>
      <x:c r="M794" t="str">
        <x:v>READY</x:v>
      </x:c>
      <x:c r="N794" t="str">
        <x:v>AKTIF</x:v>
      </x:c>
      <x:c r="O794" t="str"/>
      <x:c r="P794" t="str"/>
      <x:c r="Q794" t="str"/>
      <x:c r="R794" t="str"/>
      <x:c r="S794" t="str"/>
      <x:c r="T794" t="str"/>
      <x:c r="U794" s="18" t="n">
        <x:v>46134.041666666664</x:v>
      </x:c>
      <x:c r="V794" t="str">
        <x:v>INITIAL_IMPORT</x:v>
      </x:c>
    </x:row>
    <x:row r="795">
      <x:c r="A795" t="str">
        <x:v>PRD-JVS-0794</x:v>
      </x:c>
      <x:c r="B795" t="str">
        <x:v>JVS-0794</x:v>
      </x:c>
      <x:c r="C795" t="str">
        <x:v>Tutup Fork Balhub Kepala Babi Vespa Excel PXE Variasi Mata Kucing</x:v>
      </x:c>
      <x:c r="D795" t="str">
        <x:v>Kaki-Kaki</x:v>
      </x:c>
      <x:c r="E795" t="str">
        <x:v>EXCEL, PXE, PX</x:v>
      </x:c>
      <x:c r="F795" t="str"/>
      <x:c r="G795" s="12" t="str"/>
      <x:c r="H795" s="12" t="str"/>
      <x:c r="I795" s="12" t="str"/>
      <x:c r="J795" s="16" t="str"/>
      <x:c r="K795" s="14" t="n">
        <x:v>12</x:v>
      </x:c>
      <x:c r="L795" s="14" t="n">
        <x:v>1</x:v>
      </x:c>
      <x:c r="M795" t="str">
        <x:v>READY</x:v>
      </x:c>
      <x:c r="N795" t="str">
        <x:v>AKTIF</x:v>
      </x:c>
      <x:c r="O795" t="str"/>
      <x:c r="P795" t="str"/>
      <x:c r="Q795" t="str"/>
      <x:c r="R795" t="str"/>
      <x:c r="S795" t="str"/>
      <x:c r="T795" t="str"/>
      <x:c r="U795" s="18" t="n">
        <x:v>46134.041666666664</x:v>
      </x:c>
      <x:c r="V795" t="str">
        <x:v>INITIAL_IMPORT</x:v>
      </x:c>
    </x:row>
    <x:row r="796">
      <x:c r="A796" t="str">
        <x:v>PRD-JVS-0795</x:v>
      </x:c>
      <x:c r="B796" t="str">
        <x:v>JVS-0795</x:v>
      </x:c>
      <x:c r="C796" t="str">
        <x:v>Tutup Fork Balhub Kepala Babi Vespa PX Lama Plastik</x:v>
      </x:c>
      <x:c r="D796" t="str">
        <x:v>Kaki-Kaki</x:v>
      </x:c>
      <x:c r="E796" t="str">
        <x:v>PX</x:v>
      </x:c>
      <x:c r="F796" t="str"/>
      <x:c r="G796" s="12" t="n">
        <x:v>35</x:v>
      </x:c>
      <x:c r="H796" s="12" t="n">
        <x:v>35</x:v>
      </x:c>
      <x:c r="I796" s="12" t="n">
        <x:v>0</x:v>
      </x:c>
      <x:c r="J796" s="16" t="n">
        <x:v>0</x:v>
      </x:c>
      <x:c r="K796" s="14" t="n">
        <x:v>0</x:v>
      </x:c>
      <x:c r="L796" s="14" t="n">
        <x:v>1</x:v>
      </x:c>
      <x:c r="M796" t="str">
        <x:v>OUT OF STOCK</x:v>
      </x:c>
      <x:c r="N796" t="str">
        <x:v>AKTIF</x:v>
      </x:c>
      <x:c r="O796" t="str"/>
      <x:c r="P796" t="str"/>
      <x:c r="Q796" t="str"/>
      <x:c r="R796" t="str"/>
      <x:c r="S796" t="str"/>
      <x:c r="T796" t="str"/>
      <x:c r="U796" s="18" t="n">
        <x:v>46134.041666666664</x:v>
      </x:c>
      <x:c r="V796" t="str">
        <x:v>INITIAL_IMPORT</x:v>
      </x:c>
    </x:row>
    <x:row r="797">
      <x:c r="A797" t="str">
        <x:v>PRD-JVS-0796</x:v>
      </x:c>
      <x:c r="B797" t="str">
        <x:v>JVS-0796</x:v>
      </x:c>
      <x:c r="C797" t="str">
        <x:v>Tutup Fork Balhub Kepala Babi Vespa Super Sprint Bajaj Chrome garis</x:v>
      </x:c>
      <x:c r="D797" t="str">
        <x:v>Kaki-Kaki</x:v>
      </x:c>
      <x:c r="E797" t="str">
        <x:v>SUPER, SPRINT, BAJAJ</x:v>
      </x:c>
      <x:c r="F797" t="str"/>
      <x:c r="G797" s="12" t="n">
        <x:v>38</x:v>
      </x:c>
      <x:c r="H797" s="12" t="n">
        <x:v>38</x:v>
      </x:c>
      <x:c r="I797" s="12" t="n">
        <x:v>0</x:v>
      </x:c>
      <x:c r="J797" s="16" t="n">
        <x:v>0</x:v>
      </x:c>
      <x:c r="K797" s="14" t="n">
        <x:v>6</x:v>
      </x:c>
      <x:c r="L797" s="14" t="n">
        <x:v>1</x:v>
      </x:c>
      <x:c r="M797" t="str">
        <x:v>READY</x:v>
      </x:c>
      <x:c r="N797" t="str">
        <x:v>AKTIF</x:v>
      </x:c>
      <x:c r="O797" t="str"/>
      <x:c r="P797" t="str"/>
      <x:c r="Q797" t="str"/>
      <x:c r="R797" t="str"/>
      <x:c r="S797" t="str"/>
      <x:c r="T797" t="str"/>
      <x:c r="U797" s="18" t="n">
        <x:v>46134.041666666664</x:v>
      </x:c>
      <x:c r="V797" t="str">
        <x:v>INITIAL_IMPORT</x:v>
      </x:c>
    </x:row>
    <x:row r="798">
      <x:c r="A798" t="str">
        <x:v>PRD-JVS-0797</x:v>
      </x:c>
      <x:c r="B798" t="str">
        <x:v>JVS-0797</x:v>
      </x:c>
      <x:c r="C798" t="str">
        <x:v>Tutup Fork Hitam TLS Danmotor untuk vespa PX PXE EXCEL</x:v>
      </x:c>
      <x:c r="D798" t="str">
        <x:v>Kaki-Kaki</x:v>
      </x:c>
      <x:c r="E798" t="str">
        <x:v>EXCEL, PXE, PX</x:v>
      </x:c>
      <x:c r="F798" t="str"/>
      <x:c r="G798" s="12" t="n">
        <x:v>35</x:v>
      </x:c>
      <x:c r="H798" s="12" t="n">
        <x:v>35</x:v>
      </x:c>
      <x:c r="I798" s="12" t="n">
        <x:v>0</x:v>
      </x:c>
      <x:c r="J798" s="16" t="n">
        <x:v>0</x:v>
      </x:c>
      <x:c r="K798" s="14" t="n">
        <x:v>1</x:v>
      </x:c>
      <x:c r="L798" s="14" t="n">
        <x:v>1</x:v>
      </x:c>
      <x:c r="M798" t="str">
        <x:v>LOW</x:v>
      </x:c>
      <x:c r="N798" t="str">
        <x:v>AKTIF</x:v>
      </x:c>
      <x:c r="O798" t="str"/>
      <x:c r="P798" t="str"/>
      <x:c r="Q798" t="str"/>
      <x:c r="R798" t="str"/>
      <x:c r="S798" t="str"/>
      <x:c r="T798" t="str"/>
      <x:c r="U798" s="18" t="n">
        <x:v>46134.041666666664</x:v>
      </x:c>
      <x:c r="V798" t="str">
        <x:v>INITIAL_IMPORT</x:v>
      </x:c>
    </x:row>
    <x:row r="799">
      <x:c r="A799" t="str">
        <x:v>PRD-JVS-0798</x:v>
      </x:c>
      <x:c r="B799" t="str">
        <x:v>JVS-0798</x:v>
      </x:c>
      <x:c r="C799" t="str">
        <x:v>Tutup Kipas Excel Danmotor</x:v>
      </x:c>
      <x:c r="D799" t="str">
        <x:v>Servis</x:v>
      </x:c>
      <x:c r="E799" t="str">
        <x:v>EXCEL</x:v>
      </x:c>
      <x:c r="F799" t="str"/>
      <x:c r="G799" s="12" t="n">
        <x:v>120</x:v>
      </x:c>
      <x:c r="H799" s="12" t="n">
        <x:v>120</x:v>
      </x:c>
      <x:c r="I799" s="12" t="n">
        <x:v>0</x:v>
      </x:c>
      <x:c r="J799" s="16" t="n">
        <x:v>0</x:v>
      </x:c>
      <x:c r="K799" s="14" t="n">
        <x:v>1</x:v>
      </x:c>
      <x:c r="L799" s="14" t="n">
        <x:v>1</x:v>
      </x:c>
      <x:c r="M799" t="str">
        <x:v>LOW</x:v>
      </x:c>
      <x:c r="N799" t="str">
        <x:v>AKTIF</x:v>
      </x:c>
      <x:c r="O799" t="str"/>
      <x:c r="P799" t="str"/>
      <x:c r="Q799" t="str"/>
      <x:c r="R799" t="str"/>
      <x:c r="S799" t="str"/>
      <x:c r="T799" t="str"/>
      <x:c r="U799" s="18" t="n">
        <x:v>46134.041666666664</x:v>
      </x:c>
      <x:c r="V799" t="str">
        <x:v>INITIAL_IMPORT</x:v>
      </x:c>
    </x:row>
    <x:row r="800">
      <x:c r="A800" t="str">
        <x:v>PRD-JVS-0799</x:v>
      </x:c>
      <x:c r="B800" t="str">
        <x:v>JVS-0799</x:v>
      </x:c>
      <x:c r="C800" t="str">
        <x:v>Tutup Kipas Magnet Vespa PX Super Danmotor</x:v>
      </x:c>
      <x:c r="D800" t="str">
        <x:v>Mesin</x:v>
      </x:c>
      <x:c r="E800" t="str">
        <x:v>PX, SUPER</x:v>
      </x:c>
      <x:c r="F800" t="str"/>
      <x:c r="G800" s="12" t="n">
        <x:v>110</x:v>
      </x:c>
      <x:c r="H800" s="12" t="n">
        <x:v>110</x:v>
      </x:c>
      <x:c r="I800" s="12" t="n">
        <x:v>0</x:v>
      </x:c>
      <x:c r="J800" s="16" t="n">
        <x:v>0</x:v>
      </x:c>
      <x:c r="K800" s="14" t="n">
        <x:v>1</x:v>
      </x:c>
      <x:c r="L800" s="14" t="n">
        <x:v>1</x:v>
      </x:c>
      <x:c r="M800" t="str">
        <x:v>LOW</x:v>
      </x:c>
      <x:c r="N800" t="str">
        <x:v>AKTIF</x:v>
      </x:c>
      <x:c r="O800" t="str"/>
      <x:c r="P800" t="str"/>
      <x:c r="Q800" t="str"/>
      <x:c r="R800" t="str"/>
      <x:c r="S800" t="str"/>
      <x:c r="T800" t="str"/>
      <x:c r="U800" s="18" t="n">
        <x:v>46134.041666666664</x:v>
      </x:c>
      <x:c r="V800" t="str">
        <x:v>INITIAL_IMPORT</x:v>
      </x:c>
    </x:row>
    <x:row r="801">
      <x:c r="A801" t="str">
        <x:v>PRD-JVS-0800</x:v>
      </x:c>
      <x:c r="B801" t="str">
        <x:v>JVS-0800</x:v>
      </x:c>
      <x:c r="C801" t="str">
        <x:v>Tutup Kunci Stang Vespa Super</x:v>
      </x:c>
      <x:c r="D801" t="str">
        <x:v>Body</x:v>
      </x:c>
      <x:c r="E801" t="str">
        <x:v>SUPER</x:v>
      </x:c>
      <x:c r="F801" t="str"/>
      <x:c r="G801" s="12" t="n">
        <x:v>20</x:v>
      </x:c>
      <x:c r="H801" s="12" t="n">
        <x:v>20</x:v>
      </x:c>
      <x:c r="I801" s="12" t="n">
        <x:v>0</x:v>
      </x:c>
      <x:c r="J801" s="16" t="n">
        <x:v>0</x:v>
      </x:c>
      <x:c r="K801" s="14" t="n">
        <x:v>2</x:v>
      </x:c>
      <x:c r="L801" s="14" t="n">
        <x:v>1</x:v>
      </x:c>
      <x:c r="M801" t="str">
        <x:v>READY</x:v>
      </x:c>
      <x:c r="N801" t="str">
        <x:v>AKTIF</x:v>
      </x:c>
      <x:c r="O801" t="str"/>
      <x:c r="P801" t="str"/>
      <x:c r="Q801" t="str"/>
      <x:c r="R801" t="str"/>
      <x:c r="S801" t="str"/>
      <x:c r="T801" t="str"/>
      <x:c r="U801" s="18" t="n">
        <x:v>46134.041666666664</x:v>
      </x:c>
      <x:c r="V801" t="str">
        <x:v>INITIAL_IMPORT</x:v>
      </x:c>
    </x:row>
    <x:row r="802">
      <x:c r="A802" t="str">
        <x:v>PRD-JVS-0801</x:v>
      </x:c>
      <x:c r="B802" t="str">
        <x:v>JVS-0801</x:v>
      </x:c>
      <x:c r="C802" t="str">
        <x:v>Tutup Mur As Roda Vespa Super Sprint Bagian Kepala Babi Balhub</x:v>
      </x:c>
      <x:c r="D802" t="str">
        <x:v>Kaki-Kaki</x:v>
      </x:c>
      <x:c r="E802" t="str">
        <x:v>SUPER, SPRINT</x:v>
      </x:c>
      <x:c r="F802" t="str"/>
      <x:c r="G802" s="12" t="n">
        <x:v>18</x:v>
      </x:c>
      <x:c r="H802" s="12" t="n">
        <x:v>18</x:v>
      </x:c>
      <x:c r="I802" s="12" t="n">
        <x:v>0</x:v>
      </x:c>
      <x:c r="J802" s="16" t="n">
        <x:v>0</x:v>
      </x:c>
      <x:c r="K802" s="14" t="n">
        <x:v>1</x:v>
      </x:c>
      <x:c r="L802" s="14" t="n">
        <x:v>1</x:v>
      </x:c>
      <x:c r="M802" t="str">
        <x:v>LOW</x:v>
      </x:c>
      <x:c r="N802" t="str">
        <x:v>AKTIF</x:v>
      </x:c>
      <x:c r="O802" t="str"/>
      <x:c r="P802" t="str"/>
      <x:c r="Q802" t="str"/>
      <x:c r="R802" t="str"/>
      <x:c r="S802" t="str"/>
      <x:c r="T802" t="str"/>
      <x:c r="U802" s="18" t="n">
        <x:v>46134.041666666664</x:v>
      </x:c>
      <x:c r="V802" t="str">
        <x:v>INITIAL_IMPORT</x:v>
      </x:c>
    </x:row>
    <x:row r="803">
      <x:c r="A803" t="str">
        <x:v>PRD-JVS-0802</x:v>
      </x:c>
      <x:c r="B803" t="str">
        <x:v>JVS-0802</x:v>
      </x:c>
      <x:c r="C803" t="str">
        <x:v>Tutup Mur Keranjang As Roda Vespa Kunci 24 Vespa Excel XL</x:v>
      </x:c>
      <x:c r="D803" t="str">
        <x:v>Kaki-Kaki</x:v>
      </x:c>
      <x:c r="E803" t="str">
        <x:v>EXCEL, XL</x:v>
      </x:c>
      <x:c r="F803" t="str"/>
      <x:c r="G803" s="12" t="str"/>
      <x:c r="H803" s="12" t="str"/>
      <x:c r="I803" s="12" t="str"/>
      <x:c r="J803" s="16" t="str"/>
      <x:c r="K803" s="14" t="n">
        <x:v>9</x:v>
      </x:c>
      <x:c r="L803" s="14" t="n">
        <x:v>1</x:v>
      </x:c>
      <x:c r="M803" t="str">
        <x:v>READY</x:v>
      </x:c>
      <x:c r="N803" t="str">
        <x:v>AKTIF</x:v>
      </x:c>
      <x:c r="O803" t="str"/>
      <x:c r="P803" t="str"/>
      <x:c r="Q803" t="str"/>
      <x:c r="R803" t="str"/>
      <x:c r="S803" t="str"/>
      <x:c r="T803" t="str"/>
      <x:c r="U803" s="18" t="n">
        <x:v>46134.041666666664</x:v>
      </x:c>
      <x:c r="V803" t="str">
        <x:v>INITIAL_IMPORT</x:v>
      </x:c>
    </x:row>
    <x:row r="804">
      <x:c r="A804" t="str">
        <x:v>PRD-JVS-0803</x:v>
      </x:c>
      <x:c r="B804" t="str">
        <x:v>JVS-0803</x:v>
      </x:c>
      <x:c r="C804" t="str">
        <x:v>Tutup Mur Kipas/ magnet As Besar Vespa PX</x:v>
      </x:c>
      <x:c r="D804" t="str">
        <x:v>Mesin</x:v>
      </x:c>
      <x:c r="E804" t="str">
        <x:v>PX</x:v>
      </x:c>
      <x:c r="F804" t="str"/>
      <x:c r="G804" s="12" t="n">
        <x:v>7.5</x:v>
      </x:c>
      <x:c r="H804" s="12" t="n">
        <x:v>7.5</x:v>
      </x:c>
      <x:c r="I804" s="12" t="n">
        <x:v>0</x:v>
      </x:c>
      <x:c r="J804" s="16" t="n">
        <x:v>0</x:v>
      </x:c>
      <x:c r="K804" s="14" t="n">
        <x:v>2</x:v>
      </x:c>
      <x:c r="L804" s="14" t="n">
        <x:v>1</x:v>
      </x:c>
      <x:c r="M804" t="str">
        <x:v>READY</x:v>
      </x:c>
      <x:c r="N804" t="str">
        <x:v>AKTIF</x:v>
      </x:c>
      <x:c r="O804" t="str"/>
      <x:c r="P804" t="str"/>
      <x:c r="Q804" t="str"/>
      <x:c r="R804" t="str"/>
      <x:c r="S804" t="str"/>
      <x:c r="T804" t="str"/>
      <x:c r="U804" s="18" t="n">
        <x:v>46134.041666666664</x:v>
      </x:c>
      <x:c r="V804" t="str">
        <x:v>INITIAL_IMPORT</x:v>
      </x:c>
    </x:row>
    <x:row r="805">
      <x:c r="A805" t="str">
        <x:v>PRD-JVS-0804</x:v>
      </x:c>
      <x:c r="B805" t="str">
        <x:v>JVS-0804</x:v>
      </x:c>
      <x:c r="C805" t="str">
        <x:v>Tutup Tangki Exclusive Strada Excel Danmotor</x:v>
      </x:c>
      <x:c r="D805" t="str">
        <x:v>Servis</x:v>
      </x:c>
      <x:c r="E805" t="str">
        <x:v>EXCEL, EXCLUSIVE, STRADA</x:v>
      </x:c>
      <x:c r="F805" t="str"/>
      <x:c r="G805" s="12" t="str"/>
      <x:c r="H805" s="12" t="str"/>
      <x:c r="I805" s="12" t="str"/>
      <x:c r="J805" s="16" t="str"/>
      <x:c r="K805" s="14" t="n">
        <x:v>3</x:v>
      </x:c>
      <x:c r="L805" s="14" t="n">
        <x:v>1</x:v>
      </x:c>
      <x:c r="M805" t="str">
        <x:v>READY</x:v>
      </x:c>
      <x:c r="N805" t="str">
        <x:v>AKTIF</x:v>
      </x:c>
      <x:c r="O805" t="str"/>
      <x:c r="P805" t="str"/>
      <x:c r="Q805" t="str"/>
      <x:c r="R805" t="str"/>
      <x:c r="S805" t="str"/>
      <x:c r="T805" t="str"/>
      <x:c r="U805" s="18" t="n">
        <x:v>46134.041666666664</x:v>
      </x:c>
      <x:c r="V805" t="str">
        <x:v>INITIAL_IMPORT</x:v>
      </x:c>
    </x:row>
    <x:row r="806">
      <x:c r="A806" t="str">
        <x:v>PRD-JVS-0805</x:v>
      </x:c>
      <x:c r="B806" t="str">
        <x:v>JVS-0805</x:v>
      </x:c>
      <x:c r="C806" t="str">
        <x:v>Tutup Tangki Oli Samping Vespa PXE Excel Danmotor</x:v>
      </x:c>
      <x:c r="D806" t="str">
        <x:v>Servis</x:v>
      </x:c>
      <x:c r="E806" t="str">
        <x:v>EXCEL, PXE, PX</x:v>
      </x:c>
      <x:c r="F806" t="str"/>
      <x:c r="G806" s="12" t="n">
        <x:v>12</x:v>
      </x:c>
      <x:c r="H806" s="12" t="n">
        <x:v>12</x:v>
      </x:c>
      <x:c r="I806" s="12" t="n">
        <x:v>0</x:v>
      </x:c>
      <x:c r="J806" s="16" t="n">
        <x:v>0</x:v>
      </x:c>
      <x:c r="K806" s="14" t="n">
        <x:v>6</x:v>
      </x:c>
      <x:c r="L806" s="14" t="n">
        <x:v>1</x:v>
      </x:c>
      <x:c r="M806" t="str">
        <x:v>READY</x:v>
      </x:c>
      <x:c r="N806" t="str">
        <x:v>AKTIF</x:v>
      </x:c>
      <x:c r="O806" t="str"/>
      <x:c r="P806" t="str"/>
      <x:c r="Q806" t="str"/>
      <x:c r="R806" t="str"/>
      <x:c r="S806" t="str"/>
      <x:c r="T806" t="str"/>
      <x:c r="U806" s="18" t="n">
        <x:v>46134.041666666664</x:v>
      </x:c>
      <x:c r="V806" t="str">
        <x:v>INITIAL_IMPORT</x:v>
      </x:c>
    </x:row>
    <x:row r="807">
      <x:c r="A807" t="str">
        <x:v>PRD-JVS-0806</x:v>
      </x:c>
      <x:c r="B807" t="str">
        <x:v>JVS-0806</x:v>
      </x:c>
      <x:c r="C807" t="str">
        <x:v>Tutup tangki Super Sprint PX PS Bajaj Model Kuncian</x:v>
      </x:c>
      <x:c r="D807" t="str">
        <x:v>Servis</x:v>
      </x:c>
      <x:c r="E807" t="str">
        <x:v>PX, SUPER, SPRINT, PS, BAJAJ</x:v>
      </x:c>
      <x:c r="F807" t="str"/>
      <x:c r="G807" s="12" t="str"/>
      <x:c r="H807" s="12" t="str"/>
      <x:c r="I807" s="12" t="str"/>
      <x:c r="J807" s="16" t="str"/>
      <x:c r="K807" s="14" t="n">
        <x:v>1</x:v>
      </x:c>
      <x:c r="L807" s="14" t="n">
        <x:v>1</x:v>
      </x:c>
      <x:c r="M807" t="str">
        <x:v>LOW</x:v>
      </x:c>
      <x:c r="N807" t="str">
        <x:v>AKTIF</x:v>
      </x:c>
      <x:c r="O807" t="str"/>
      <x:c r="P807" t="str"/>
      <x:c r="Q807" t="str"/>
      <x:c r="R807" t="str"/>
      <x:c r="S807" t="str"/>
      <x:c r="T807" t="str"/>
      <x:c r="U807" s="18" t="n">
        <x:v>46134.041666666664</x:v>
      </x:c>
      <x:c r="V807" t="str">
        <x:v>INITIAL_IMPORT</x:v>
      </x:c>
    </x:row>
    <x:row r="808">
      <x:c r="A808" t="str">
        <x:v>PRD-JVS-0807</x:v>
      </x:c>
      <x:c r="B808" t="str">
        <x:v>JVS-0807</x:v>
      </x:c>
      <x:c r="C808" t="str">
        <x:v>Velg Banci Vespa Ring 10</x:v>
      </x:c>
      <x:c r="D808" t="str">
        <x:v>Kaki-Kaki</x:v>
      </x:c>
      <x:c r="E808" t="str"/>
      <x:c r="F808" t="str"/>
      <x:c r="G808" s="12" t="n">
        <x:v>150</x:v>
      </x:c>
      <x:c r="H808" s="12" t="n">
        <x:v>150</x:v>
      </x:c>
      <x:c r="I808" s="12" t="n">
        <x:v>0</x:v>
      </x:c>
      <x:c r="J808" s="16" t="n">
        <x:v>0</x:v>
      </x:c>
      <x:c r="K808" s="14" t="n">
        <x:v>2</x:v>
      </x:c>
      <x:c r="L808" s="14" t="n">
        <x:v>1</x:v>
      </x:c>
      <x:c r="M808" t="str">
        <x:v>READY</x:v>
      </x:c>
      <x:c r="N808" t="str">
        <x:v>AKTIF</x:v>
      </x:c>
      <x:c r="O808" t="str"/>
      <x:c r="P808" t="str"/>
      <x:c r="Q808" t="str"/>
      <x:c r="R808" t="str"/>
      <x:c r="S808" t="str"/>
      <x:c r="T808" t="str"/>
      <x:c r="U808" s="18" t="n">
        <x:v>46134.041666666664</x:v>
      </x:c>
      <x:c r="V808" t="str">
        <x:v>INITIAL_IMPORT</x:v>
      </x:c>
    </x:row>
    <x:row r="809">
      <x:c r="A809" t="str">
        <x:v>PRD-JVS-0808</x:v>
      </x:c>
      <x:c r="B809" t="str">
        <x:v>JVS-0808</x:v>
      </x:c>
      <x:c r="C809" t="str">
        <x:v>Velg Kenong VBB Bajaj Ring 8</x:v>
      </x:c>
      <x:c r="D809" t="str">
        <x:v>Kaki-Kaki</x:v>
      </x:c>
      <x:c r="E809" t="str">
        <x:v>VBB, BAJAJ</x:v>
      </x:c>
      <x:c r="F809" t="str"/>
      <x:c r="G809" s="12" t="n">
        <x:v>165</x:v>
      </x:c>
      <x:c r="H809" s="12" t="n">
        <x:v>165</x:v>
      </x:c>
      <x:c r="I809" s="12" t="n">
        <x:v>0</x:v>
      </x:c>
      <x:c r="J809" s="16" t="n">
        <x:v>0</x:v>
      </x:c>
      <x:c r="K809" s="14" t="n">
        <x:v>1</x:v>
      </x:c>
      <x:c r="L809" s="14" t="n">
        <x:v>1</x:v>
      </x:c>
      <x:c r="M809" t="str">
        <x:v>LOW</x:v>
      </x:c>
      <x:c r="N809" t="str">
        <x:v>AKTIF</x:v>
      </x:c>
      <x:c r="O809" t="str"/>
      <x:c r="P809" t="str"/>
      <x:c r="Q809" t="str"/>
      <x:c r="R809" t="str"/>
      <x:c r="S809" t="str"/>
      <x:c r="T809" t="str"/>
      <x:c r="U809" s="18" t="n">
        <x:v>46134.041666666664</x:v>
      </x:c>
      <x:c r="V809" t="str">
        <x:v>INITIAL_IMPORT</x:v>
      </x:c>
    </x:row>
    <x:row r="810">
      <x:c r="A810" t="str">
        <x:v>PRD-JVS-0809</x:v>
      </x:c>
      <x:c r="B810" t="str">
        <x:v>JVS-0809</x:v>
      </x:c>
      <x:c r="C810" t="str">
        <x:v>Velg Vespa Ring 10 Import</x:v>
      </x:c>
      <x:c r="D810" t="str">
        <x:v>Kaki-Kaki</x:v>
      </x:c>
      <x:c r="E810" t="str"/>
      <x:c r="F810" t="str"/>
      <x:c r="G810" s="12" t="n">
        <x:v>150</x:v>
      </x:c>
      <x:c r="H810" s="12" t="n">
        <x:v>150</x:v>
      </x:c>
      <x:c r="I810" s="12" t="n">
        <x:v>0</x:v>
      </x:c>
      <x:c r="J810" s="16" t="n">
        <x:v>0</x:v>
      </x:c>
      <x:c r="K810" s="14" t="n">
        <x:v>0</x:v>
      </x:c>
      <x:c r="L810" s="14" t="n">
        <x:v>1</x:v>
      </x:c>
      <x:c r="M810" t="str">
        <x:v>OUT OF STOCK</x:v>
      </x:c>
      <x:c r="N810" t="str">
        <x:v>AKTIF</x:v>
      </x:c>
      <x:c r="O810" t="str"/>
      <x:c r="P810" t="str"/>
      <x:c r="Q810" t="str"/>
      <x:c r="R810" t="str"/>
      <x:c r="S810" t="str"/>
      <x:c r="T810" t="str"/>
      <x:c r="U810" s="18" t="n">
        <x:v>46134.041666666664</x:v>
      </x:c>
      <x:c r="V810" t="str">
        <x:v>INITIAL_IMPORT</x:v>
      </x:c>
    </x:row>
    <x:row r="811">
      <x:c r="A811" t="str">
        <x:v>PRD-JVS-0810</x:v>
      </x:c>
      <x:c r="B811" t="str">
        <x:v>JVS-0810</x:v>
      </x:c>
      <x:c r="C811" t="str">
        <x:v>Visor Windshield Mika depang stang XL Danmotor</x:v>
      </x:c>
      <x:c r="D811" t="str">
        <x:v>Body</x:v>
      </x:c>
      <x:c r="E811" t="str">
        <x:v>XL</x:v>
      </x:c>
      <x:c r="F811" t="str"/>
      <x:c r="G811" s="12" t="n">
        <x:v>85</x:v>
      </x:c>
      <x:c r="H811" s="12" t="n">
        <x:v>85</x:v>
      </x:c>
      <x:c r="I811" s="12" t="n">
        <x:v>0</x:v>
      </x:c>
      <x:c r="J811" s="16" t="n">
        <x:v>0</x:v>
      </x:c>
      <x:c r="K811" s="14" t="n">
        <x:v>1</x:v>
      </x:c>
      <x:c r="L811" s="14" t="n">
        <x:v>1</x:v>
      </x:c>
      <x:c r="M811" t="str">
        <x:v>LOW</x:v>
      </x:c>
      <x:c r="N811" t="str">
        <x:v>AKTIF</x:v>
      </x:c>
      <x:c r="O811" t="str"/>
      <x:c r="P811" t="str"/>
      <x:c r="Q811" t="str"/>
      <x:c r="R811" t="str"/>
      <x:c r="S811" t="str"/>
      <x:c r="T811" t="str"/>
      <x:c r="U811" s="18" t="n">
        <x:v>46134.041666666664</x:v>
      </x:c>
      <x:c r="V811" t="str">
        <x:v>INITIAL_IMPORT</x:v>
      </x:c>
    </x:row>
    <x:row r="812">
      <x:c r="A812" t="str">
        <x:v>PRD-JVS-0811</x:v>
      </x:c>
      <x:c r="B812" t="str">
        <x:v>JVS-0811</x:v>
      </x:c>
      <x:c r="C812" t="str">
        <x:v>Kuningan Rumah Laher Kruk As Vespa</x:v>
      </x:c>
      <x:c r="D812" t="str">
        <x:v>Mesin</x:v>
      </x:c>
      <x:c r="E812" t="str"/>
      <x:c r="F812" t="str"/>
      <x:c r="G812" s="12" t="n">
        <x:v>30</x:v>
      </x:c>
      <x:c r="H812" s="12" t="n">
        <x:v>30</x:v>
      </x:c>
      <x:c r="I812" s="12" t="n">
        <x:v>0</x:v>
      </x:c>
      <x:c r="J812" s="16" t="n">
        <x:v>0</x:v>
      </x:c>
      <x:c r="K812" s="14" t="n">
        <x:v>2</x:v>
      </x:c>
      <x:c r="L812" s="14" t="n">
        <x:v>1</x:v>
      </x:c>
      <x:c r="M812" t="str">
        <x:v>READY</x:v>
      </x:c>
      <x:c r="N812" t="str">
        <x:v>AKTIF</x:v>
      </x:c>
      <x:c r="O812" t="str"/>
      <x:c r="P812" t="str"/>
      <x:c r="Q812" t="str"/>
      <x:c r="R812" t="str"/>
      <x:c r="S812" t="str"/>
      <x:c r="T812" t="str"/>
      <x:c r="U812" s="18" t="n">
        <x:v>46134.041666666664</x:v>
      </x:c>
      <x:c r="V812" t="str">
        <x:v>INITIAL_IMPORT</x:v>
      </x:c>
    </x:row>
    <x:row r="813">
      <x:c r="A813" t="str">
        <x:v>PRD-JVS-0812</x:v>
      </x:c>
      <x:c r="B813" t="str">
        <x:v>JVS-0812</x:v>
      </x:c>
      <x:c r="C813" t="str">
        <x:v>Kampas rem vemsa AZ133 Racing FACO</x:v>
      </x:c>
      <x:c r="D813" t="str">
        <x:v>Kaki-Kaki</x:v>
      </x:c>
      <x:c r="E813" t="str"/>
      <x:c r="F813" t="str"/>
      <x:c r="G813" s="12" t="n">
        <x:v>50</x:v>
      </x:c>
      <x:c r="H813" s="12" t="n">
        <x:v>50</x:v>
      </x:c>
      <x:c r="I813" s="12" t="n">
        <x:v>0</x:v>
      </x:c>
      <x:c r="J813" s="16" t="n">
        <x:v>0</x:v>
      </x:c>
      <x:c r="K813" s="14" t="n">
        <x:v>0</x:v>
      </x:c>
      <x:c r="L813" s="14" t="n">
        <x:v>1</x:v>
      </x:c>
      <x:c r="M813" t="str">
        <x:v>OUT OF STOCK</x:v>
      </x:c>
      <x:c r="N813" t="str">
        <x:v>AKTIF</x:v>
      </x:c>
      <x:c r="O813" t="str"/>
      <x:c r="P813" t="str"/>
      <x:c r="Q813" t="str"/>
      <x:c r="R813" t="str"/>
      <x:c r="S813" t="str"/>
      <x:c r="T813" t="str"/>
      <x:c r="U813" s="18" t="n">
        <x:v>46134.041666666664</x:v>
      </x:c>
      <x:c r="V813" t="str">
        <x:v>INITIAL_IMPORT</x:v>
      </x:c>
    </x:row>
    <x:row r="814">
      <x:c r="A814" t="str">
        <x:v>PRD-JVS-0813</x:v>
      </x:c>
      <x:c r="B814" t="str">
        <x:v>JVS-0813</x:v>
      </x:c>
      <x:c r="C814" t="str">
        <x:v>Ring Stang Seher Kuningan</x:v>
      </x:c>
      <x:c r="D814" t="str">
        <x:v>Mesin</x:v>
      </x:c>
      <x:c r="E814" t="str"/>
      <x:c r="F814" t="str"/>
      <x:c r="G814" s="12" t="n">
        <x:v>10</x:v>
      </x:c>
      <x:c r="H814" s="12" t="n">
        <x:v>10</x:v>
      </x:c>
      <x:c r="I814" s="12" t="n">
        <x:v>0</x:v>
      </x:c>
      <x:c r="J814" s="16" t="n">
        <x:v>0</x:v>
      </x:c>
      <x:c r="K814" s="14" t="n">
        <x:v>10</x:v>
      </x:c>
      <x:c r="L814" s="14" t="n">
        <x:v>1</x:v>
      </x:c>
      <x:c r="M814" t="str">
        <x:v>READY</x:v>
      </x:c>
      <x:c r="N814" t="str">
        <x:v>AKTIF</x:v>
      </x:c>
      <x:c r="O814" t="str"/>
      <x:c r="P814" t="str"/>
      <x:c r="Q814" t="str"/>
      <x:c r="R814" t="str"/>
      <x:c r="S814" t="str"/>
      <x:c r="T814" t="str"/>
      <x:c r="U814" s="18" t="n">
        <x:v>46134.041666666664</x:v>
      </x:c>
      <x:c r="V814" t="str">
        <x:v>INITIAL_IMPORT</x:v>
      </x:c>
    </x:row>
    <x:row r="815">
      <x:c r="A815" t="str">
        <x:v>PRD-JVS-0814</x:v>
      </x:c>
      <x:c r="B815" t="str">
        <x:v>JVS-0814</x:v>
      </x:c>
      <x:c r="C815" t="str">
        <x:v>Laher Big End Stang seher</x:v>
      </x:c>
      <x:c r="D815" t="str">
        <x:v>Mesin</x:v>
      </x:c>
      <x:c r="E815" t="str"/>
      <x:c r="F815" t="str"/>
      <x:c r="G815" s="12" t="n">
        <x:v>28</x:v>
      </x:c>
      <x:c r="H815" s="12" t="n">
        <x:v>28</x:v>
      </x:c>
      <x:c r="I815" s="12" t="n">
        <x:v>0</x:v>
      </x:c>
      <x:c r="J815" s="16" t="n">
        <x:v>0</x:v>
      </x:c>
      <x:c r="K815" s="14" t="n">
        <x:v>2</x:v>
      </x:c>
      <x:c r="L815" s="14" t="n">
        <x:v>1</x:v>
      </x:c>
      <x:c r="M815" t="str">
        <x:v>READY</x:v>
      </x:c>
      <x:c r="N815" t="str">
        <x:v>AKTIF</x:v>
      </x:c>
      <x:c r="O815" t="str"/>
      <x:c r="P815" t="str"/>
      <x:c r="Q815" t="str"/>
      <x:c r="R815" t="str"/>
      <x:c r="S815" t="str"/>
      <x:c r="T815" t="str"/>
      <x:c r="U815" s="18" t="n">
        <x:v>46134.041666666664</x:v>
      </x:c>
      <x:c r="V815" t="str">
        <x:v>INITIAL_IMPORT</x:v>
      </x:c>
    </x:row>
    <x:row r="816">
      <x:c r="A816" t="str">
        <x:v>PRD-JVS-0815</x:v>
      </x:c>
      <x:c r="B816" t="str">
        <x:v>JVS-0815</x:v>
      </x:c>
      <x:c r="C816" t="str">
        <x:v>Shockbreaker Depan vespa PX Excel KYB Dumper</x:v>
      </x:c>
      <x:c r="D816" t="str">
        <x:v>Kaki-Kaki</x:v>
      </x:c>
      <x:c r="E816" t="str">
        <x:v>EXCEL, PX</x:v>
      </x:c>
      <x:c r="F816" t="str"/>
      <x:c r="G816" s="12" t="n">
        <x:v>300</x:v>
      </x:c>
      <x:c r="H816" s="12" t="n">
        <x:v>300</x:v>
      </x:c>
      <x:c r="I816" s="12" t="n">
        <x:v>0</x:v>
      </x:c>
      <x:c r="J816" s="16" t="n">
        <x:v>0</x:v>
      </x:c>
      <x:c r="K816" s="14" t="n">
        <x:v>1</x:v>
      </x:c>
      <x:c r="L816" s="14" t="n">
        <x:v>1</x:v>
      </x:c>
      <x:c r="M816" t="str">
        <x:v>LOW</x:v>
      </x:c>
      <x:c r="N816" t="str">
        <x:v>AKTIF</x:v>
      </x:c>
      <x:c r="O816" t="str"/>
      <x:c r="P816" t="str"/>
      <x:c r="Q816" t="str"/>
      <x:c r="R816" t="str"/>
      <x:c r="S816" t="str"/>
      <x:c r="T816" t="str"/>
      <x:c r="U816" s="18" t="n">
        <x:v>46134.041666666664</x:v>
      </x:c>
      <x:c r="V816" t="str">
        <x:v>INITIAL_IMPORT</x:v>
      </x:c>
    </x:row>
    <x:row r="817">
      <x:c r="A817" t="str">
        <x:v>PRD-JVS-0816</x:v>
      </x:c>
      <x:c r="B817" t="str">
        <x:v>JVS-0816</x:v>
      </x:c>
      <x:c r="C817" t="str">
        <x:v>Shockbreaker Depan vespa largeframe PX Excel KYB Dumper Saja</x:v>
      </x:c>
      <x:c r="D817" t="str">
        <x:v>Kaki-Kaki</x:v>
      </x:c>
      <x:c r="E817" t="str">
        <x:v>EXCEL, PX</x:v>
      </x:c>
      <x:c r="F817" t="str"/>
      <x:c r="G817" s="12" t="n">
        <x:v>250</x:v>
      </x:c>
      <x:c r="H817" s="12" t="n">
        <x:v>250</x:v>
      </x:c>
      <x:c r="I817" s="12" t="n">
        <x:v>0</x:v>
      </x:c>
      <x:c r="J817" s="16" t="n">
        <x:v>0</x:v>
      </x:c>
      <x:c r="K817" s="14" t="n">
        <x:v>1</x:v>
      </x:c>
      <x:c r="L817" s="14" t="n">
        <x:v>1</x:v>
      </x:c>
      <x:c r="M817" t="str">
        <x:v>LOW</x:v>
      </x:c>
      <x:c r="N817" t="str">
        <x:v>AKTIF</x:v>
      </x:c>
      <x:c r="O817" t="str"/>
      <x:c r="P817" t="str"/>
      <x:c r="Q817" t="str"/>
      <x:c r="R817" t="str"/>
      <x:c r="S817" t="str"/>
      <x:c r="T817" t="str"/>
      <x:c r="U817" s="18" t="n">
        <x:v>46134.041666666664</x:v>
      </x:c>
      <x:c r="V817" t="str">
        <x:v>INITIAL_IMPORT</x:v>
      </x:c>
    </x:row>
    <x:row r="818">
      <x:c r="A818" t="str">
        <x:v>PRD-JVS-0817</x:v>
      </x:c>
      <x:c r="B818" t="str">
        <x:v>JVS-0817</x:v>
      </x:c>
      <x:c r="C818" t="str">
        <x:v>Topi Per Kopling Model Bolong</x:v>
      </x:c>
      <x:c r="D818" t="str">
        <x:v>Mesin</x:v>
      </x:c>
      <x:c r="E818" t="str"/>
      <x:c r="F818" t="str"/>
      <x:c r="G818" s="12" t="n">
        <x:v>3.5</x:v>
      </x:c>
      <x:c r="H818" s="12" t="n">
        <x:v>3.5</x:v>
      </x:c>
      <x:c r="I818" s="12" t="n">
        <x:v>0</x:v>
      </x:c>
      <x:c r="J818" s="16" t="n">
        <x:v>0</x:v>
      </x:c>
      <x:c r="K818" s="14" t="n">
        <x:v>6</x:v>
      </x:c>
      <x:c r="L818" s="14" t="n">
        <x:v>1</x:v>
      </x:c>
      <x:c r="M818" t="str">
        <x:v>READY</x:v>
      </x:c>
      <x:c r="N818" t="str">
        <x:v>AKTIF</x:v>
      </x:c>
      <x:c r="O818" t="str"/>
      <x:c r="P818" t="str"/>
      <x:c r="Q818" t="str"/>
      <x:c r="R818" t="str"/>
      <x:c r="S818" t="str"/>
      <x:c r="T818" t="str"/>
      <x:c r="U818" s="18" t="n">
        <x:v>46134.041666666664</x:v>
      </x:c>
      <x:c r="V818" t="str">
        <x:v>INITIAL_IMPORT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290000915527344" hidden="0" customWidth="1"/>
    <x:col min="2" max="2" width="16.43000030517578" hidden="0" customWidth="1"/>
    <x:col min="3" max="3" width="15" hidden="0" customWidth="1"/>
    <x:col min="4" max="4" width="45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  <x:col min="9" max="9" width="30.709999084472656" hidden="0" customWidth="1"/>
    <x:col min="10" max="10" width="16.43000030517578" hidden="0" customWidth="1"/>
  </x:cols>
  <x:sheetData>
    <x:row r="1">
      <x:c r="A1" s="10" t="str">
        <x:v>In_ID</x:v>
      </x:c>
      <x:c r="B1" s="10" t="str">
        <x:v>Tanggal</x:v>
      </x:c>
      <x:c r="C1" s="10" t="str">
        <x:v>SKU</x:v>
      </x:c>
      <x:c r="D1" s="10" t="str">
        <x:v>Nama_Produk</x:v>
      </x:c>
      <x:c r="E1" s="10" t="str">
        <x:v>Qty_Masuk</x:v>
      </x:c>
      <x:c r="F1" s="10" t="str">
        <x:v>Harga_Modal_Satuan</x:v>
      </x:c>
      <x:c r="G1" s="10" t="str">
        <x:v>Total_Modal_Masuk</x:v>
      </x:c>
      <x:c r="H1" s="10" t="str">
        <x:v>Supplier</x:v>
      </x:c>
      <x:c r="I1" s="10" t="str">
        <x:v>Catatan</x:v>
      </x:c>
      <x:c r="J1" s="10" t="str">
        <x:v>Input_By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290000915527344" hidden="0" customWidth="1"/>
    <x:col min="2" max="2" width="16.43000030517578" hidden="0" customWidth="1"/>
    <x:col min="3" max="3" width="15" hidden="0" customWidth="1"/>
    <x:col min="4" max="4" width="45" hidden="0" customWidth="1"/>
    <x:col min="5" max="5" width="16.43000030517578" hidden="0" customWidth="1"/>
    <x:col min="6" max="6" width="16.43000030517578" hidden="0" customWidth="1"/>
    <x:col min="7" max="7" width="15" hidden="0" customWidth="1"/>
    <x:col min="8" max="8" width="15" hidden="0" customWidth="1"/>
    <x:col min="9" max="9" width="15" hidden="0" customWidth="1"/>
    <x:col min="10" max="10" width="30.709999084472656" hidden="0" customWidth="1"/>
    <x:col min="11" max="11" width="16.43000030517578" hidden="0" customWidth="1"/>
  </x:cols>
  <x:sheetData>
    <x:row r="1">
      <x:c r="A1" s="10" t="str">
        <x:v>Out_ID</x:v>
      </x:c>
      <x:c r="B1" s="10" t="str">
        <x:v>Tanggal</x:v>
      </x:c>
      <x:c r="C1" s="10" t="str">
        <x:v>SKU</x:v>
      </x:c>
      <x:c r="D1" s="10" t="str">
        <x:v>Nama_Produk</x:v>
      </x:c>
      <x:c r="E1" s="10" t="str">
        <x:v>Jenis_Keluar</x:v>
      </x:c>
      <x:c r="F1" s="10" t="str">
        <x:v>Referensi_ID</x:v>
      </x:c>
      <x:c r="G1" s="10" t="str">
        <x:v>Qty_Keluar</x:v>
      </x:c>
      <x:c r="H1" s="10" t="str">
        <x:v>Harga_Jual_Satuan</x:v>
      </x:c>
      <x:c r="I1" s="10" t="str">
        <x:v>Total_Penjualan</x:v>
      </x:c>
      <x:c r="J1" s="10" t="str">
        <x:v>Catatan</x:v>
      </x:c>
      <x:c r="K1" s="10" t="str">
        <x:v>Input_By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7.139999389648438" hidden="0" customWidth="1"/>
    <x:col min="3" max="3" width="25" hidden="0" customWidth="1"/>
    <x:col min="4" max="4" width="20.709999084472656" hidden="0" customWidth="1"/>
    <x:col min="5" max="5" width="36.43000030517578" hidden="0" customWidth="1"/>
    <x:col min="6" max="6" width="45" hidden="0" customWidth="1"/>
    <x:col min="7" max="7" width="2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.709999084472656" hidden="0" customWidth="1"/>
    <x:col min="16" max="16" width="19.290000915527344" hidden="0" customWidth="1"/>
  </x:cols>
  <x:sheetData>
    <x:row r="1">
      <x:c r="A1" s="10" t="str">
        <x:v>Order_ID</x:v>
      </x:c>
      <x:c r="B1" s="10" t="str">
        <x:v>Order_Date</x:v>
      </x:c>
      <x:c r="C1" s="10" t="str">
        <x:v>Customer_Nama</x:v>
      </x:c>
      <x:c r="D1" s="10" t="str">
        <x:v>Customer_WhatsApp</x:v>
      </x:c>
      <x:c r="E1" s="10" t="str">
        <x:v>Customer_Alamat</x:v>
      </x:c>
      <x:c r="F1" s="10" t="str">
        <x:v>Item_JSON</x:v>
      </x:c>
      <x:c r="G1" s="10" t="str">
        <x:v>SKU_List</x:v>
      </x:c>
      <x:c r="H1" s="10" t="str">
        <x:v>Qty_Total</x:v>
      </x:c>
      <x:c r="I1" s="10" t="str">
        <x:v>Subtotal</x:v>
      </x:c>
      <x:c r="J1" s="10" t="str">
        <x:v>Ongkir</x:v>
      </x:c>
      <x:c r="K1" s="10" t="str">
        <x:v>Grand_Total</x:v>
      </x:c>
      <x:c r="L1" s="10" t="str">
        <x:v>Status_Order</x:v>
      </x:c>
      <x:c r="M1" s="10" t="str">
        <x:v>Payment_Status</x:v>
      </x:c>
      <x:c r="N1" s="10" t="str">
        <x:v>Source</x:v>
      </x:c>
      <x:c r="O1" s="10" t="str">
        <x:v>Catatan</x:v>
      </x:c>
      <x:c r="P1" s="10" t="str">
        <x:v>Created_At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7.860000610351562" hidden="0" customWidth="1"/>
    <x:col min="3" max="3" width="15" hidden="0" customWidth="1"/>
    <x:col min="4" max="4" width="45" hidden="0" customWidth="1"/>
    <x:col min="5" max="5" width="15" hidden="0" customWidth="1"/>
    <x:col min="6" max="6" width="13.569999694824219" hidden="0" customWidth="1"/>
    <x:col min="7" max="7" width="13.569999694824219" hidden="0" customWidth="1"/>
    <x:col min="8" max="8" width="13.569999694824219" hidden="0" customWidth="1"/>
    <x:col min="9" max="9" width="19.290000915527344" hidden="0" customWidth="1"/>
    <x:col min="10" max="10" width="36.43000030517578" hidden="0" customWidth="1"/>
    <x:col min="11" max="11" width="16.43000030517578" hidden="0" customWidth="1"/>
  </x:cols>
  <x:sheetData>
    <x:row r="1">
      <x:c r="A1" s="10" t="str">
        <x:v>Log_ID</x:v>
      </x:c>
      <x:c r="B1" s="10" t="str">
        <x:v>Timestamp</x:v>
      </x:c>
      <x:c r="C1" s="10" t="str">
        <x:v>SKU</x:v>
      </x:c>
      <x:c r="D1" s="10" t="str">
        <x:v>Nama_Produk</x:v>
      </x:c>
      <x:c r="E1" s="10" t="str">
        <x:v>Tipe_Log</x:v>
      </x:c>
      <x:c r="F1" s="10" t="str">
        <x:v>Qty_Change</x:v>
      </x:c>
      <x:c r="G1" s="10" t="str">
        <x:v>Stok_Sebelum</x:v>
      </x:c>
      <x:c r="H1" s="10" t="str">
        <x:v>Stok_Sesudah</x:v>
      </x:c>
      <x:c r="I1" s="10" t="str">
        <x:v>Reference_ID</x:v>
      </x:c>
      <x:c r="J1" s="10" t="str">
        <x:v>Note</x:v>
      </x:c>
      <x:c r="K1" s="10" t="str">
        <x:v>Actor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.709999084472656" hidden="0" customWidth="1"/>
    <x:col min="2" max="2" width="59.290000915527344" hidden="0" customWidth="1"/>
    <x:col min="3" max="3" width="50.709999084472656" hidden="0" customWidth="1"/>
  </x:cols>
  <x:sheetData>
    <x:row r="1">
      <x:c r="A1" s="10" t="str">
        <x:v>Key</x:v>
      </x:c>
      <x:c r="B1" s="20" t="str">
        <x:v>Value</x:v>
      </x:c>
      <x:c r="C1" s="10" t="str">
        <x:v>Description</x:v>
      </x:c>
    </x:row>
    <x:row r="2">
      <x:c r="A2" t="str">
        <x:v>Nama_Toko</x:v>
      </x:c>
      <x:c r="B2" t="str">
        <x:v>Toko Vespa Jogja</x:v>
      </x:c>
      <x:c r="C2" t="str">
        <x:v>Nama toko utama yang dipakai di website dan dashboard</x:v>
      </x:c>
    </x:row>
    <x:row r="3">
      <x:c r="A3" t="str">
        <x:v>No_WhatsApp</x:v>
      </x:c>
      <x:c r="B3" t="str">
        <x:v>6288802500388</x:v>
      </x:c>
      <x:c r="C3" t="str">
        <x:v>Nomor WhatsApp utama untuk order</x:v>
      </x:c>
    </x:row>
    <x:row r="4">
      <x:c r="A4" t="str">
        <x:v>URL_Website</x:v>
      </x:c>
      <x:c r="B4" t="str"/>
      <x:c r="C4" t="str">
        <x:v>Isi dengan URL website produksi saat sudah live</x:v>
      </x:c>
    </x:row>
    <x:row r="5">
      <x:c r="A5" t="str">
        <x:v>URL_Shopee</x:v>
      </x:c>
      <x:c r="B5" t="str">
        <x:v>https://shopee.co.id/partygarage?mmp_pid=an_11358540745&amp;uls_trackid=55faj09l026l&amp;utm_campaign=-&amp;utm_content=product&amp;utm_medium=affiliates&amp;utm_source=an_11358540745&amp;utm_term=esd2nin1keuu</x:v>
      </x:c>
      <x:c r="C5" t="str">
        <x:v>Link toko Shopee</x:v>
      </x:c>
    </x:row>
    <x:row r="6">
      <x:c r="A6" t="str">
        <x:v>URL_Tokopedia</x:v>
      </x:c>
      <x:c r="B6" t="str">
        <x:v>https://www.tokopedia.com/partygarage?aff_unique_id=VjgAA7a-YnTM8-Fw3Ka8JN5oQ2eCH3SBLEpL_sptR1rkd-oWAjGg1tPP606HGPXIZLg%3D&amp;channel=others&amp;_branch_match_id=1393927041289602488&amp;utm_source=others&amp;utm_campaign=affiliateshare-shop-VjgAA7a-YnTM8-Fw3Ka8JN5oQ2eCH3SBLEpL_sptR1rkd-oWAjGg1tPP606HGPXIZLg%253D-0-0-110924&amp;utm_medium=affiliate-share&amp;_branch_referrer=H4sIAAAAAAAAA8soKSkottLXL8nPzi9ITclM1MvJzMvWL0sOyHXzSvX39U2yrytKTUstKsrMS49PKsovL04tsnXOKMrPTQUATcKVfzwAAAA%3D</x:v>
      </x:c>
      <x:c r="C6" t="str">
        <x:v>Link toko Tokopedia</x:v>
      </x:c>
    </x:row>
    <x:row r="7">
      <x:c r="A7" t="str">
        <x:v>URL_Instagram</x:v>
      </x:c>
      <x:c r="B7" t="str">
        <x:v>https://www.instagram.com/partygarage.id?utm_medium=copy_link</x:v>
      </x:c>
      <x:c r="C7" t="str">
        <x:v>Link Instagram toko</x:v>
      </x:c>
    </x:row>
    <x:row r="8">
      <x:c r="A8" t="str">
        <x:v>URL_TikTok</x:v>
      </x:c>
      <x:c r="B8" t="str">
        <x:v>https://www.tiktok.com/@tokovespajogja?_t=8pvgj2hx0ia&amp;_r=1</x:v>
      </x:c>
      <x:c r="C8" t="str">
        <x:v>Link TikTok toko</x:v>
      </x:c>
    </x:row>
    <x:row r="9">
      <x:c r="A9" t="str">
        <x:v>URL_Facebook</x:v>
      </x:c>
      <x:c r="B9" t="str">
        <x:v>https://www.facebook.com/profile.php?id=100072034242791&amp;mibextid=ZbWKwL</x:v>
      </x:c>
      <x:c r="C9" t="str">
        <x:v>Link Facebook toko</x:v>
      </x:c>
    </x:row>
    <x:row r="10">
      <x:c r="A10" t="str">
        <x:v>URL_Google_Maps</x:v>
      </x:c>
      <x:c r="B10" t="str">
        <x:v>https://www.google.com/maps?q=Party+Garage+(TOKO+VESPA+JOGJA),+Jl.+Selokan+Mataram,+Kadirojo+I,+Purwomartani,+Kec.+Kalasan,+Kabupaten+Sleman,+Daerah+Istimewa+Yogyakarta+55571&amp;ftid=0x2e7af905412b9b4f:0x8db69b72f27559aa&amp;entry=gps&amp;lucs=,94207805,47071704,94206167,47069508,94218641,94203019,47084304&amp;g_ep=CAISDTYuMTMwLjEuODIwNzAYACDXggMqPyw5NDIwNzgwNSw0NzA3MTcwNCw5NDIwNjE2Nyw0NzA2OTUwOCw5NDIxODY0MSw5NDIwMzAxOSw0NzA4NDMwNEICSUQ%3D&amp;g_st=ic</x:v>
      </x:c>
      <x:c r="C10" t="str">
        <x:v>Link Google Maps toko fisik</x:v>
      </x:c>
    </x:row>
    <x:row r="11">
      <x:c r="A11" t="str">
        <x:v>URL_WhatsApp</x:v>
      </x:c>
      <x:c r="B11" t="str">
        <x:v>https://api.whatsapp.com/send/?phone=%2B6288802500388&amp;text&amp;type=phone_number&amp;app_absent=0</x:v>
      </x:c>
      <x:c r="C11" t="str">
        <x:v>Link WhatsApp order</x:v>
      </x:c>
    </x:row>
    <x:row r="12">
      <x:c r="A12" t="str">
        <x:v>Mata_Uang</x:v>
      </x:c>
      <x:c r="B12" t="str">
        <x:v>IDR</x:v>
      </x:c>
      <x:c r="C12" t="str">
        <x:v>Gunakan Rupiah sebagai nominal sistem</x:v>
      </x:c>
    </x:row>
    <x:row r="13">
      <x:c r="A13" t="str">
        <x:v>Zona_Waktu</x:v>
      </x:c>
      <x:c r="B13" t="str">
        <x:v>Asia/Jakarta</x:v>
      </x:c>
      <x:c r="C13" t="str">
        <x:v>Timezone utama untuk Apps Script dan report</x:v>
      </x:c>
    </x:row>
    <x:row r="14">
      <x:c r="A14" t="str">
        <x:v>Low_Stock_Threshold_Default</x:v>
      </x:c>
      <x:c r="B14" t="str">
        <x:v>1</x:v>
      </x:c>
      <x:c r="C14" t="str">
        <x:v>Ambang default minimum stok jika Minimum_Stok produk kosong</x:v>
      </x:c>
    </x:row>
    <x:row r="15">
      <x:c r="A15" t="str">
        <x:v>Last_Backup_Time</x:v>
      </x:c>
      <x:c r="B15" t="str"/>
      <x:c r="C15" t="str">
        <x:v>Isi otomatis saat backup dijalankan</x:v>
      </x:c>
    </x:row>
    <x:row r="16">
      <x:c r="A16" t="str">
        <x:v>Catalog_Source_URL</x:v>
      </x:c>
      <x:c r="B16" t="str"/>
      <x:c r="C16" t="str">
        <x:v>Opsional, isi sumber feed katalog jika nanti ada sinkronisasi otomatis</x:v>
      </x:c>
    </x:row>
    <x:row r="17">
      <x:c r="A17" t="str">
        <x:v>Setup_Note</x:v>
      </x:c>
      <x:c r="B17" t="str">
        <x:v>Harga_Modal bootstrap diisi sama dengan Harga_Jual jika harga tersedia</x:v>
      </x:c>
      <x:c r="C17" t="str">
        <x:v>Segera update modal asli sebelum memakai report profit untuk keputusan bisnis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.139999389648438" hidden="0" customWidth="1"/>
    <x:col min="2" max="2" width="33.56999969482422" hidden="0" customWidth="1"/>
    <x:col min="3" max="3" width="16.43000030517578" hidden="0" customWidth="1"/>
    <x:col min="4" max="4" width="15" hidden="0" customWidth="1"/>
    <x:col min="5" max="5" width="20.709999084472656" hidden="0" customWidth="1"/>
    <x:col min="6" max="6" width="45" hidden="0" customWidth="1"/>
    <x:col min="8" max="8" width="20.709999084472656" hidden="0" customWidth="1"/>
    <x:col min="9" max="9" width="20.709999084472656" hidden="0" customWidth="1"/>
  </x:cols>
  <x:sheetData>
    <x:row r="1">
      <x:c r="A1" s="10" t="str">
        <x:v>Metric_Group</x:v>
      </x:c>
      <x:c r="B1" s="10" t="str">
        <x:v>Metric_Name</x:v>
      </x:c>
      <x:c r="C1" s="10" t="str">
        <x:v>Metric_Value</x:v>
      </x:c>
      <x:c r="D1" s="10" t="str">
        <x:v>Metric_Format</x:v>
      </x:c>
      <x:c r="E1" s="10" t="str">
        <x:v>Last_Refreshed</x:v>
      </x:c>
      <x:c r="F1" s="10" t="str">
        <x:v>Notes</x:v>
      </x:c>
      <x:c r="H1" s="30" t="str">
        <x:v>DASHBOARD HELPER</x:v>
      </x:c>
      <x:c r="I1" s="30"/>
    </x:row>
    <x:row r="2">
      <x:c r="H2" t="str">
        <x:v>Metric</x:v>
      </x:c>
      <x:c r="I2" t="str">
        <x:v>Value</x:v>
      </x:c>
    </x:row>
    <x:row r="3">
      <x:c r="H3" s="30" t="str">
        <x:v>Total Produk Aktif</x:v>
      </x:c>
      <x:c r="I3" s="32" t="n">
        <x:f>COUNTIF(MASTER_PRODUCTS!$N$2:$N$818,"AKTIF")</x:f>
        <x:v>817</x:v>
      </x:c>
    </x:row>
    <x:row r="4">
      <x:c r="H4" t="str">
        <x:v>Total SKU</x:v>
      </x:c>
      <x:c r="I4" s="14" t="n">
        <x:f>COUNTA(MASTER_PRODUCTS!$B$2:$B$818)</x:f>
        <x:v>817</x:v>
      </x:c>
    </x:row>
    <x:row r="5">
      <x:c r="H5" t="str">
        <x:v>Total Stok Unit</x:v>
      </x:c>
      <x:c r="I5" s="14" t="n">
        <x:f>SUM(FILTER(MASTER_PRODUCTS!$K$2:$K$818,MASTER_PRODUCTS!$B$2:$B$818&lt;&gt;""))</x:f>
        <x:v>3188</x:v>
      </x:c>
    </x:row>
    <x:row r="6">
      <x:c r="H6" t="str">
        <x:v>Nilai Inventory Modal</x:v>
      </x:c>
      <x:c r="I6" s="12" t="n">
        <x:f>SUMPRODUCT(MASTER_PRODUCTS!$K$2:$K$818,MASTER_PRODUCTS!$G$2:$G$818)</x:f>
        <x:v>90130</x:v>
      </x:c>
    </x:row>
    <x:row r="7">
      <x:c r="H7" t="str">
        <x:v>Nilai Inventory Jual</x:v>
      </x:c>
      <x:c r="I7" s="12" t="n">
        <x:f>SUMPRODUCT(MASTER_PRODUCTS!$K$2:$K$818,MASTER_PRODUCTS!$H$2:$H$818)</x:f>
        <x:v>90130</x:v>
      </x:c>
    </x:row>
    <x:row r="8">
      <x:c r="H8" t="str">
        <x:v>READY</x:v>
      </x:c>
      <x:c r="I8" s="14" t="n">
        <x:f>COUNTIF(MASTER_PRODUCTS!$M$2:$M$818,"READY")</x:f>
        <x:v>502</x:v>
      </x:c>
    </x:row>
    <x:row r="9">
      <x:c r="H9" t="str">
        <x:v>LOW</x:v>
      </x:c>
      <x:c r="I9" s="14" t="n">
        <x:f>COUNTIF(MASTER_PRODUCTS!$M$2:$M$818,"LOW")</x:f>
        <x:v>223</x:v>
      </x:c>
    </x:row>
    <x:row r="10">
      <x:c r="H10" t="str">
        <x:v>OUT OF STOCK</x:v>
      </x:c>
      <x:c r="I10" s="14" t="n">
        <x:f>COUNTIF(MASTER_PRODUCTS!$M$2:$M$818,"OUT OF STOCK")</x:f>
        <x:v>92</x:v>
      </x:c>
    </x:row>
  </x:sheetData>
  <x:mergeCells>
    <x:mergeCell ref="H1:I1"/>
  </x:mergeCells>
  <x:pageMargins left="0.7" right="0.7" top="0.75" bottom="0.75" header="0.3" footer="0.3"/>
  <x:drawing xmlns:r="http://schemas.openxmlformats.org/officeDocument/2006/relationships" r:id="R32432e98bebd4355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6.43000030517578" hidden="0" customWidth="1"/>
    <x:col min="3" max="3" width="16.4300003051757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6" max="16" width="25" hidden="0" customWidth="1"/>
    <x:col min="17" max="17" width="25" hidden="0" customWidth="1"/>
  </x:cols>
  <x:sheetData>
    <x:row r="1">
      <x:c r="A1" s="10" t="str">
        <x:v>Week_Key</x:v>
      </x:c>
      <x:c r="B1" s="10" t="str">
        <x:v>Period_Start</x:v>
      </x:c>
      <x:c r="C1" s="10" t="str">
        <x:v>Period_End</x:v>
      </x:c>
      <x:c r="D1" s="10" t="str">
        <x:v>Orders_Count</x:v>
      </x:c>
      <x:c r="E1" s="10" t="str">
        <x:v>Units_Sold</x:v>
      </x:c>
      <x:c r="F1" s="10" t="str">
        <x:v>Revenue</x:v>
      </x:c>
      <x:c r="G1" s="10" t="str">
        <x:v>Estimated_COGS</x:v>
      </x:c>
      <x:c r="H1" s="10" t="str">
        <x:v>Estimated_Gross_Profit</x:v>
      </x:c>
      <x:c r="I1" s="10" t="str">
        <x:v>Stock_In_Qty</x:v>
      </x:c>
      <x:c r="J1" s="10" t="str">
        <x:v>Stock_Out_Qty</x:v>
      </x:c>
      <x:c r="K1" s="10" t="str">
        <x:v>Cancel_Count</x:v>
      </x:c>
      <x:c r="L1" s="10" t="str">
        <x:v>Top_SKU</x:v>
      </x:c>
      <x:c r="M1" s="10" t="str">
        <x:v>Low_Stock_Count</x:v>
      </x:c>
      <x:c r="N1" s="10" t="str">
        <x:v>Generated_At</x:v>
      </x:c>
      <x:c r="P1" s="30" t="str">
        <x:v>WEEKLY REPORT SETUP</x:v>
      </x:c>
      <x:c r="Q1" s="30"/>
    </x:row>
    <x:row r="2">
      <x:c r="P2" t="str">
        <x:v>Status</x:v>
      </x:c>
      <x:c r="Q2" t="str">
        <x:v>Belum digenerate</x:v>
      </x:c>
    </x:row>
    <x:row r="3">
      <x:c r="P3" s="30" t="str">
        <x:v>Action</x:v>
      </x:c>
      <x:c r="Q3" s="30" t="str">
        <x:v>Jalankan Apps Script reporting</x:v>
      </x:c>
    </x:row>
    <x:row r="4">
      <x:c r="P4" t="str">
        <x:v>Menu</x:v>
      </x:c>
      <x:c r="Q4" t="str">
        <x:v>TVJ Inventory</x:v>
      </x:c>
    </x:row>
    <x:row r="5">
      <x:c r="P5" t="str">
        <x:v>Note</x:v>
      </x:c>
      <x:c r="Q5" t="str">
        <x:v>Area ini akan diisi script report otomatis</x:v>
      </x:c>
    </x:row>
  </x:sheetData>
  <x:mergeCells>
    <x:mergeCell ref="P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6.43000030517578" hidden="0" customWidth="1"/>
    <x:col min="3" max="3" width="16.4300003051757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6" max="16" width="25" hidden="0" customWidth="1"/>
    <x:col min="17" max="17" width="25" hidden="0" customWidth="1"/>
  </x:cols>
  <x:sheetData>
    <x:row r="1">
      <x:c r="A1" s="10" t="str">
        <x:v>Month_Key</x:v>
      </x:c>
      <x:c r="B1" s="10" t="str">
        <x:v>Period_Start</x:v>
      </x:c>
      <x:c r="C1" s="10" t="str">
        <x:v>Period_End</x:v>
      </x:c>
      <x:c r="D1" s="10" t="str">
        <x:v>Orders_Count</x:v>
      </x:c>
      <x:c r="E1" s="10" t="str">
        <x:v>Units_Sold</x:v>
      </x:c>
      <x:c r="F1" s="10" t="str">
        <x:v>Revenue</x:v>
      </x:c>
      <x:c r="G1" s="10" t="str">
        <x:v>Estimated_COGS</x:v>
      </x:c>
      <x:c r="H1" s="10" t="str">
        <x:v>Estimated_Gross_Profit</x:v>
      </x:c>
      <x:c r="I1" s="10" t="str">
        <x:v>Stock_In_Qty</x:v>
      </x:c>
      <x:c r="J1" s="10" t="str">
        <x:v>Stock_Out_Qty</x:v>
      </x:c>
      <x:c r="K1" s="10" t="str">
        <x:v>Cancel_Count</x:v>
      </x:c>
      <x:c r="L1" s="10" t="str">
        <x:v>Top_SKU</x:v>
      </x:c>
      <x:c r="M1" s="10" t="str">
        <x:v>Low_Stock_Count</x:v>
      </x:c>
      <x:c r="N1" s="10" t="str">
        <x:v>Generated_At</x:v>
      </x:c>
      <x:c r="P1" s="30" t="str">
        <x:v>MONTHLY REPORT SETUP</x:v>
      </x:c>
      <x:c r="Q1" s="30"/>
    </x:row>
    <x:row r="2">
      <x:c r="P2" t="str">
        <x:v>Status</x:v>
      </x:c>
      <x:c r="Q2" t="str">
        <x:v>Belum digenerate</x:v>
      </x:c>
    </x:row>
    <x:row r="3">
      <x:c r="P3" s="30" t="str">
        <x:v>Action</x:v>
      </x:c>
      <x:c r="Q3" s="30" t="str">
        <x:v>Jalankan Apps Script reporting</x:v>
      </x:c>
    </x:row>
    <x:row r="4">
      <x:c r="P4" t="str">
        <x:v>Menu</x:v>
      </x:c>
      <x:c r="Q4" t="str">
        <x:v>TVJ Inventory</x:v>
      </x:c>
    </x:row>
    <x:row r="5">
      <x:c r="P5" t="str">
        <x:v>Note</x:v>
      </x:c>
      <x:c r="Q5" t="str">
        <x:v>Area ini akan diisi script report otomatis</x:v>
      </x:c>
    </x:row>
  </x:sheetData>
  <x:mergeCells>
    <x:mergeCell ref="P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.860000610351562" hidden="0" customWidth="1"/>
    <x:col min="2" max="2" width="12.140000343322754" hidden="0" customWidth="1"/>
    <x:col min="3" max="3" width="30.709999084472656" hidden="0" customWidth="1"/>
    <x:col min="4" max="4" width="45" hidden="0" customWidth="1"/>
    <x:col min="5" max="5" width="12.140000343322754" hidden="0" customWidth="1"/>
    <x:col min="6" max="6" width="45" hidden="0" customWidth="1"/>
  </x:cols>
  <x:sheetData>
    <x:row r="1">
      <x:c r="A1" s="10" t="str">
        <x:v>Timestamp</x:v>
      </x:c>
      <x:c r="B1" s="10" t="str">
        <x:v>Method</x:v>
      </x:c>
      <x:c r="C1" s="10" t="str">
        <x:v>Endpoint</x:v>
      </x:c>
      <x:c r="D1" s="10" t="str">
        <x:v>Payload_Singkat</x:v>
      </x:c>
      <x:c r="E1" s="10" t="str">
        <x:v>Status</x:v>
      </x:c>
      <x:c r="F1" s="10" t="str">
        <x:v>Response_Singkat</x:v>
      </x:c>
    </x:row>
  </x:sheetData>
  <x:pageMargins left="0.7" right="0.7" top="0.75" bottom="0.75" header="0.3" footer="0.3"/>
</x:worksheet>
</file>